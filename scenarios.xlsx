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paper\data center emission\data\"/>
    </mc:Choice>
  </mc:AlternateContent>
  <xr:revisionPtr revIDLastSave="0" documentId="13_ncr:1_{4E0690B4-1C78-4BBC-99ED-5E0D3C378AB2}" xr6:coauthVersionLast="47" xr6:coauthVersionMax="47" xr10:uidLastSave="{00000000-0000-0000-0000-000000000000}"/>
  <bookViews>
    <workbookView xWindow="-120" yWindow="-120" windowWidth="51840" windowHeight="21240" tabRatio="837" activeTab="6" xr2:uid="{00000000-000D-0000-FFFF-FFFF00000000}"/>
  </bookViews>
  <sheets>
    <sheet name="low_scale" sheetId="20" r:id="rId1"/>
    <sheet name="medium_scale" sheetId="21" r:id="rId2"/>
    <sheet name="high_scale" sheetId="22" r:id="rId3"/>
    <sheet name="low_PUE" sheetId="23" r:id="rId4"/>
    <sheet name="medium_PUE" sheetId="24" r:id="rId5"/>
    <sheet name="high_PUE" sheetId="25" r:id="rId6"/>
    <sheet name="low_perf" sheetId="26" r:id="rId7"/>
    <sheet name="medium_perf" sheetId="27" r:id="rId8"/>
    <sheet name="high_perf" sheetId="28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8" l="1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R2" i="28" s="1"/>
  <c r="S2" i="28" s="1"/>
  <c r="T2" i="28" s="1"/>
  <c r="U2" i="28" s="1"/>
  <c r="V2" i="28" s="1"/>
  <c r="W2" i="28" s="1"/>
  <c r="X2" i="28" s="1"/>
  <c r="Y2" i="28" s="1"/>
  <c r="Z2" i="28" s="1"/>
  <c r="AA2" i="28" s="1"/>
  <c r="AB2" i="28" s="1"/>
  <c r="AC2" i="28" s="1"/>
  <c r="D3" i="28"/>
  <c r="E3" i="28" s="1"/>
  <c r="F3" i="28" s="1"/>
  <c r="G3" i="28" s="1"/>
  <c r="H3" i="28" s="1"/>
  <c r="I3" i="28" s="1"/>
  <c r="J3" i="28" s="1"/>
  <c r="K3" i="28" s="1"/>
  <c r="L3" i="28" s="1"/>
  <c r="M3" i="28" s="1"/>
  <c r="N3" i="28" s="1"/>
  <c r="O3" i="28" s="1"/>
  <c r="P3" i="28" s="1"/>
  <c r="Q3" i="28" s="1"/>
  <c r="R3" i="28" s="1"/>
  <c r="S3" i="28" s="1"/>
  <c r="T3" i="28" s="1"/>
  <c r="U3" i="28" s="1"/>
  <c r="V3" i="28" s="1"/>
  <c r="W3" i="28" s="1"/>
  <c r="X3" i="28" s="1"/>
  <c r="Y3" i="28" s="1"/>
  <c r="Z3" i="28" s="1"/>
  <c r="AA3" i="28" s="1"/>
  <c r="AB3" i="28" s="1"/>
  <c r="AC3" i="28" s="1"/>
  <c r="D4" i="28"/>
  <c r="E4" i="28" s="1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S4" i="28" s="1"/>
  <c r="T4" i="28" s="1"/>
  <c r="U4" i="28" s="1"/>
  <c r="V4" i="28" s="1"/>
  <c r="W4" i="28" s="1"/>
  <c r="X4" i="28" s="1"/>
  <c r="Y4" i="28" s="1"/>
  <c r="Z4" i="28" s="1"/>
  <c r="AA4" i="28" s="1"/>
  <c r="AB4" i="28" s="1"/>
  <c r="AC4" i="28" s="1"/>
  <c r="D5" i="28"/>
  <c r="E5" i="28"/>
  <c r="F5" i="28" s="1"/>
  <c r="G5" i="28" s="1"/>
  <c r="H5" i="28" s="1"/>
  <c r="I5" i="28" s="1"/>
  <c r="J5" i="28" s="1"/>
  <c r="K5" i="28" s="1"/>
  <c r="L5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Y5" i="28" s="1"/>
  <c r="Z5" i="28" s="1"/>
  <c r="AA5" i="28" s="1"/>
  <c r="AB5" i="28" s="1"/>
  <c r="AC5" i="28" s="1"/>
  <c r="D6" i="28"/>
  <c r="E6" i="28"/>
  <c r="F6" i="28" s="1"/>
  <c r="G6" i="28" s="1"/>
  <c r="H6" i="28" s="1"/>
  <c r="I6" i="28" s="1"/>
  <c r="J6" i="28" s="1"/>
  <c r="K6" i="28" s="1"/>
  <c r="L6" i="28" s="1"/>
  <c r="M6" i="28" s="1"/>
  <c r="N6" i="28" s="1"/>
  <c r="O6" i="28" s="1"/>
  <c r="P6" i="28" s="1"/>
  <c r="Q6" i="28" s="1"/>
  <c r="R6" i="28" s="1"/>
  <c r="S6" i="28" s="1"/>
  <c r="T6" i="28" s="1"/>
  <c r="U6" i="28" s="1"/>
  <c r="V6" i="28" s="1"/>
  <c r="W6" i="28" s="1"/>
  <c r="X6" i="28" s="1"/>
  <c r="Y6" i="28" s="1"/>
  <c r="Z6" i="28" s="1"/>
  <c r="AA6" i="28" s="1"/>
  <c r="AB6" i="28" s="1"/>
  <c r="AC6" i="28" s="1"/>
  <c r="D7" i="28"/>
  <c r="E7" i="28" s="1"/>
  <c r="F7" i="28" s="1"/>
  <c r="G7" i="28" s="1"/>
  <c r="H7" i="28" s="1"/>
  <c r="I7" i="28" s="1"/>
  <c r="J7" i="28" s="1"/>
  <c r="K7" i="28" s="1"/>
  <c r="L7" i="28" s="1"/>
  <c r="M7" i="28" s="1"/>
  <c r="N7" i="28" s="1"/>
  <c r="O7" i="28" s="1"/>
  <c r="P7" i="28" s="1"/>
  <c r="Q7" i="28" s="1"/>
  <c r="R7" i="28" s="1"/>
  <c r="S7" i="28" s="1"/>
  <c r="T7" i="28" s="1"/>
  <c r="U7" i="28" s="1"/>
  <c r="V7" i="28" s="1"/>
  <c r="W7" i="28" s="1"/>
  <c r="X7" i="28" s="1"/>
  <c r="Y7" i="28" s="1"/>
  <c r="Z7" i="28" s="1"/>
  <c r="AA7" i="28" s="1"/>
  <c r="AB7" i="28" s="1"/>
  <c r="AC7" i="28" s="1"/>
  <c r="D8" i="28"/>
  <c r="E8" i="28" s="1"/>
  <c r="F8" i="28" s="1"/>
  <c r="G8" i="28" s="1"/>
  <c r="H8" i="28" s="1"/>
  <c r="I8" i="28" s="1"/>
  <c r="J8" i="28" s="1"/>
  <c r="K8" i="28" s="1"/>
  <c r="L8" i="28" s="1"/>
  <c r="M8" i="28" s="1"/>
  <c r="N8" i="28" s="1"/>
  <c r="O8" i="28" s="1"/>
  <c r="P8" i="28" s="1"/>
  <c r="Q8" i="28" s="1"/>
  <c r="R8" i="28" s="1"/>
  <c r="S8" i="28" s="1"/>
  <c r="T8" i="28" s="1"/>
  <c r="U8" i="28" s="1"/>
  <c r="V8" i="28" s="1"/>
  <c r="W8" i="28" s="1"/>
  <c r="X8" i="28" s="1"/>
  <c r="Y8" i="28" s="1"/>
  <c r="Z8" i="28" s="1"/>
  <c r="AA8" i="28" s="1"/>
  <c r="AB8" i="28" s="1"/>
  <c r="AC8" i="28" s="1"/>
  <c r="D9" i="28"/>
  <c r="E9" i="28" s="1"/>
  <c r="F9" i="28" s="1"/>
  <c r="G9" i="28" s="1"/>
  <c r="H9" i="28" s="1"/>
  <c r="I9" i="28" s="1"/>
  <c r="J9" i="28" s="1"/>
  <c r="K9" i="28" s="1"/>
  <c r="L9" i="28" s="1"/>
  <c r="M9" i="28" s="1"/>
  <c r="N9" i="28" s="1"/>
  <c r="O9" i="28" s="1"/>
  <c r="P9" i="28" s="1"/>
  <c r="Q9" i="28" s="1"/>
  <c r="R9" i="28" s="1"/>
  <c r="S9" i="28" s="1"/>
  <c r="T9" i="28" s="1"/>
  <c r="U9" i="28" s="1"/>
  <c r="V9" i="28" s="1"/>
  <c r="W9" i="28" s="1"/>
  <c r="X9" i="28" s="1"/>
  <c r="Y9" i="28" s="1"/>
  <c r="Z9" i="28" s="1"/>
  <c r="AA9" i="28" s="1"/>
  <c r="AB9" i="28" s="1"/>
  <c r="AC9" i="28" s="1"/>
  <c r="D10" i="28"/>
  <c r="E10" i="28" s="1"/>
  <c r="F10" i="28" s="1"/>
  <c r="G10" i="28" s="1"/>
  <c r="H10" i="28" s="1"/>
  <c r="I10" i="28" s="1"/>
  <c r="J10" i="28" s="1"/>
  <c r="K10" i="28" s="1"/>
  <c r="L10" i="28" s="1"/>
  <c r="M10" i="28" s="1"/>
  <c r="N10" i="28" s="1"/>
  <c r="O10" i="28" s="1"/>
  <c r="P10" i="28" s="1"/>
  <c r="Q10" i="28" s="1"/>
  <c r="R10" i="28" s="1"/>
  <c r="S10" i="28" s="1"/>
  <c r="T10" i="28" s="1"/>
  <c r="U10" i="28" s="1"/>
  <c r="V10" i="28" s="1"/>
  <c r="W10" i="28" s="1"/>
  <c r="X10" i="28" s="1"/>
  <c r="Y10" i="28" s="1"/>
  <c r="Z10" i="28" s="1"/>
  <c r="AA10" i="28" s="1"/>
  <c r="AB10" i="28" s="1"/>
  <c r="AC10" i="28" s="1"/>
  <c r="D11" i="28"/>
  <c r="E11" i="28"/>
  <c r="F11" i="28" s="1"/>
  <c r="G11" i="28" s="1"/>
  <c r="H11" i="28" s="1"/>
  <c r="I11" i="28" s="1"/>
  <c r="J11" i="28" s="1"/>
  <c r="K11" i="28" s="1"/>
  <c r="L11" i="28" s="1"/>
  <c r="M11" i="28" s="1"/>
  <c r="N11" i="28" s="1"/>
  <c r="O11" i="28" s="1"/>
  <c r="P11" i="28" s="1"/>
  <c r="Q11" i="28" s="1"/>
  <c r="R11" i="28" s="1"/>
  <c r="S11" i="28" s="1"/>
  <c r="T11" i="28" s="1"/>
  <c r="U11" i="28" s="1"/>
  <c r="V11" i="28" s="1"/>
  <c r="W11" i="28" s="1"/>
  <c r="X11" i="28" s="1"/>
  <c r="Y11" i="28" s="1"/>
  <c r="Z11" i="28" s="1"/>
  <c r="AA11" i="28" s="1"/>
  <c r="AB11" i="28" s="1"/>
  <c r="AC11" i="28" s="1"/>
  <c r="D12" i="28"/>
  <c r="E12" i="28"/>
  <c r="F12" i="28" s="1"/>
  <c r="G12" i="28" s="1"/>
  <c r="H12" i="28" s="1"/>
  <c r="I12" i="28" s="1"/>
  <c r="J12" i="28" s="1"/>
  <c r="K12" i="28" s="1"/>
  <c r="L12" i="28" s="1"/>
  <c r="M12" i="28" s="1"/>
  <c r="N12" i="28" s="1"/>
  <c r="O12" i="28" s="1"/>
  <c r="P12" i="28" s="1"/>
  <c r="Q12" i="28" s="1"/>
  <c r="R12" i="28" s="1"/>
  <c r="S12" i="28" s="1"/>
  <c r="T12" i="28" s="1"/>
  <c r="U12" i="28" s="1"/>
  <c r="V12" i="28" s="1"/>
  <c r="W12" i="28" s="1"/>
  <c r="X12" i="28" s="1"/>
  <c r="Y12" i="28" s="1"/>
  <c r="Z12" i="28" s="1"/>
  <c r="AA12" i="28" s="1"/>
  <c r="AB12" i="28" s="1"/>
  <c r="AC12" i="28" s="1"/>
  <c r="D13" i="28"/>
  <c r="E13" i="28" s="1"/>
  <c r="F13" i="28" s="1"/>
  <c r="G13" i="28" s="1"/>
  <c r="H13" i="28" s="1"/>
  <c r="I13" i="28" s="1"/>
  <c r="J13" i="28" s="1"/>
  <c r="K13" i="28" s="1"/>
  <c r="L13" i="28" s="1"/>
  <c r="M13" i="28" s="1"/>
  <c r="N13" i="28" s="1"/>
  <c r="O13" i="28" s="1"/>
  <c r="P13" i="28" s="1"/>
  <c r="Q13" i="28" s="1"/>
  <c r="R13" i="28" s="1"/>
  <c r="S13" i="28" s="1"/>
  <c r="T13" i="28" s="1"/>
  <c r="U13" i="28" s="1"/>
  <c r="V13" i="28" s="1"/>
  <c r="W13" i="28" s="1"/>
  <c r="X13" i="28" s="1"/>
  <c r="Y13" i="28" s="1"/>
  <c r="Z13" i="28" s="1"/>
  <c r="AA13" i="28" s="1"/>
  <c r="AB13" i="28" s="1"/>
  <c r="AC13" i="28" s="1"/>
  <c r="D14" i="28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D15" i="28"/>
  <c r="E15" i="28" s="1"/>
  <c r="F15" i="28" s="1"/>
  <c r="G15" i="28" s="1"/>
  <c r="H15" i="28" s="1"/>
  <c r="I15" i="28" s="1"/>
  <c r="J15" i="28" s="1"/>
  <c r="K15" i="28" s="1"/>
  <c r="L15" i="28" s="1"/>
  <c r="M15" i="28" s="1"/>
  <c r="N15" i="28" s="1"/>
  <c r="O15" i="28" s="1"/>
  <c r="P15" i="28" s="1"/>
  <c r="Q15" i="28" s="1"/>
  <c r="R15" i="28" s="1"/>
  <c r="S15" i="28" s="1"/>
  <c r="T15" i="28" s="1"/>
  <c r="U15" i="28" s="1"/>
  <c r="V15" i="28" s="1"/>
  <c r="W15" i="28" s="1"/>
  <c r="X15" i="28" s="1"/>
  <c r="Y15" i="28" s="1"/>
  <c r="Z15" i="28" s="1"/>
  <c r="AA15" i="28" s="1"/>
  <c r="AB15" i="28" s="1"/>
  <c r="AC15" i="28" s="1"/>
  <c r="D16" i="28"/>
  <c r="E16" i="28" s="1"/>
  <c r="F16" i="28" s="1"/>
  <c r="G16" i="28" s="1"/>
  <c r="H16" i="28" s="1"/>
  <c r="I16" i="28" s="1"/>
  <c r="J16" i="28" s="1"/>
  <c r="K16" i="28" s="1"/>
  <c r="L16" i="28" s="1"/>
  <c r="M16" i="28" s="1"/>
  <c r="N16" i="28" s="1"/>
  <c r="O16" i="28" s="1"/>
  <c r="P16" i="28" s="1"/>
  <c r="Q16" i="28" s="1"/>
  <c r="R16" i="28" s="1"/>
  <c r="S16" i="28" s="1"/>
  <c r="T16" i="28" s="1"/>
  <c r="U16" i="28" s="1"/>
  <c r="V16" i="28" s="1"/>
  <c r="W16" i="28" s="1"/>
  <c r="X16" i="28" s="1"/>
  <c r="Y16" i="28" s="1"/>
  <c r="Z16" i="28" s="1"/>
  <c r="AA16" i="28" s="1"/>
  <c r="AB16" i="28" s="1"/>
  <c r="AC16" i="28" s="1"/>
  <c r="D17" i="28"/>
  <c r="E17" i="28"/>
  <c r="F17" i="28" s="1"/>
  <c r="G17" i="28" s="1"/>
  <c r="H17" i="28" s="1"/>
  <c r="I17" i="28" s="1"/>
  <c r="J17" i="28" s="1"/>
  <c r="K17" i="28" s="1"/>
  <c r="L17" i="28" s="1"/>
  <c r="M17" i="28" s="1"/>
  <c r="N17" i="28" s="1"/>
  <c r="O17" i="28" s="1"/>
  <c r="P17" i="28" s="1"/>
  <c r="Q17" i="28" s="1"/>
  <c r="R17" i="28" s="1"/>
  <c r="S17" i="28" s="1"/>
  <c r="T17" i="28" s="1"/>
  <c r="U17" i="28" s="1"/>
  <c r="V17" i="28" s="1"/>
  <c r="W17" i="28" s="1"/>
  <c r="X17" i="28" s="1"/>
  <c r="Y17" i="28" s="1"/>
  <c r="Z17" i="28" s="1"/>
  <c r="AA17" i="28" s="1"/>
  <c r="AB17" i="28" s="1"/>
  <c r="AC17" i="28" s="1"/>
  <c r="D18" i="28"/>
  <c r="E18" i="28"/>
  <c r="F18" i="28" s="1"/>
  <c r="G18" i="28" s="1"/>
  <c r="H18" i="28" s="1"/>
  <c r="I18" i="28" s="1"/>
  <c r="J18" i="28" s="1"/>
  <c r="K18" i="28" s="1"/>
  <c r="L18" i="28" s="1"/>
  <c r="M18" i="28" s="1"/>
  <c r="N18" i="28" s="1"/>
  <c r="O18" i="28" s="1"/>
  <c r="P18" i="28" s="1"/>
  <c r="Q18" i="28" s="1"/>
  <c r="R18" i="28" s="1"/>
  <c r="S18" i="28" s="1"/>
  <c r="T18" i="28" s="1"/>
  <c r="U18" i="28" s="1"/>
  <c r="V18" i="28" s="1"/>
  <c r="W18" i="28" s="1"/>
  <c r="X18" i="28" s="1"/>
  <c r="Y18" i="28" s="1"/>
  <c r="Z18" i="28" s="1"/>
  <c r="AA18" i="28" s="1"/>
  <c r="AB18" i="28" s="1"/>
  <c r="AC18" i="28" s="1"/>
  <c r="D19" i="28"/>
  <c r="E19" i="28" s="1"/>
  <c r="F19" i="28" s="1"/>
  <c r="G19" i="28" s="1"/>
  <c r="H19" i="28" s="1"/>
  <c r="I19" i="28" s="1"/>
  <c r="J19" i="28" s="1"/>
  <c r="K19" i="28" s="1"/>
  <c r="L19" i="28" s="1"/>
  <c r="M19" i="28" s="1"/>
  <c r="N19" i="28" s="1"/>
  <c r="O19" i="28" s="1"/>
  <c r="P19" i="28" s="1"/>
  <c r="Q19" i="28" s="1"/>
  <c r="R19" i="28" s="1"/>
  <c r="S19" i="28" s="1"/>
  <c r="T19" i="28" s="1"/>
  <c r="U19" i="28" s="1"/>
  <c r="V19" i="28" s="1"/>
  <c r="W19" i="28" s="1"/>
  <c r="X19" i="28" s="1"/>
  <c r="Y19" i="28" s="1"/>
  <c r="Z19" i="28" s="1"/>
  <c r="AA19" i="28" s="1"/>
  <c r="AB19" i="28" s="1"/>
  <c r="AC19" i="28" s="1"/>
  <c r="D20" i="28"/>
  <c r="E20" i="28" s="1"/>
  <c r="F20" i="28" s="1"/>
  <c r="G20" i="28" s="1"/>
  <c r="H20" i="28" s="1"/>
  <c r="I20" i="28" s="1"/>
  <c r="J20" i="28" s="1"/>
  <c r="K20" i="28" s="1"/>
  <c r="L20" i="28" s="1"/>
  <c r="M20" i="28" s="1"/>
  <c r="N20" i="28" s="1"/>
  <c r="O20" i="28" s="1"/>
  <c r="P20" i="28" s="1"/>
  <c r="Q20" i="28" s="1"/>
  <c r="R20" i="28" s="1"/>
  <c r="S20" i="28" s="1"/>
  <c r="T20" i="28" s="1"/>
  <c r="U20" i="28" s="1"/>
  <c r="V20" i="28" s="1"/>
  <c r="W20" i="28" s="1"/>
  <c r="X20" i="28" s="1"/>
  <c r="Y20" i="28" s="1"/>
  <c r="Z20" i="28" s="1"/>
  <c r="AA20" i="28" s="1"/>
  <c r="AB20" i="28" s="1"/>
  <c r="AC20" i="28" s="1"/>
  <c r="D21" i="28"/>
  <c r="E21" i="28" s="1"/>
  <c r="F21" i="28" s="1"/>
  <c r="G21" i="28" s="1"/>
  <c r="H21" i="28" s="1"/>
  <c r="I21" i="28" s="1"/>
  <c r="J21" i="28" s="1"/>
  <c r="K21" i="28" s="1"/>
  <c r="L21" i="28" s="1"/>
  <c r="M21" i="28" s="1"/>
  <c r="N21" i="28" s="1"/>
  <c r="O21" i="28" s="1"/>
  <c r="P21" i="28" s="1"/>
  <c r="Q21" i="28" s="1"/>
  <c r="R21" i="28" s="1"/>
  <c r="S21" i="28" s="1"/>
  <c r="T21" i="28" s="1"/>
  <c r="U21" i="28" s="1"/>
  <c r="V21" i="28" s="1"/>
  <c r="W21" i="28" s="1"/>
  <c r="X21" i="28" s="1"/>
  <c r="Y21" i="28" s="1"/>
  <c r="Z21" i="28" s="1"/>
  <c r="AA21" i="28" s="1"/>
  <c r="AB21" i="28" s="1"/>
  <c r="AC21" i="28" s="1"/>
  <c r="D22" i="28"/>
  <c r="E22" i="28" s="1"/>
  <c r="F22" i="28" s="1"/>
  <c r="G22" i="28" s="1"/>
  <c r="H22" i="28" s="1"/>
  <c r="I22" i="28" s="1"/>
  <c r="J22" i="28" s="1"/>
  <c r="K22" i="28" s="1"/>
  <c r="L22" i="28" s="1"/>
  <c r="M22" i="28" s="1"/>
  <c r="N22" i="28" s="1"/>
  <c r="O22" i="28" s="1"/>
  <c r="P22" i="28" s="1"/>
  <c r="Q22" i="28" s="1"/>
  <c r="R22" i="28" s="1"/>
  <c r="S22" i="28" s="1"/>
  <c r="T22" i="28" s="1"/>
  <c r="U22" i="28" s="1"/>
  <c r="V22" i="28" s="1"/>
  <c r="W22" i="28" s="1"/>
  <c r="X22" i="28" s="1"/>
  <c r="Y22" i="28" s="1"/>
  <c r="Z22" i="28" s="1"/>
  <c r="AA22" i="28" s="1"/>
  <c r="AB22" i="28" s="1"/>
  <c r="AC22" i="28" s="1"/>
  <c r="D23" i="28"/>
  <c r="E23" i="28"/>
  <c r="F23" i="28" s="1"/>
  <c r="G23" i="28" s="1"/>
  <c r="H23" i="28" s="1"/>
  <c r="I23" i="28" s="1"/>
  <c r="J23" i="28" s="1"/>
  <c r="K23" i="28" s="1"/>
  <c r="L23" i="28" s="1"/>
  <c r="M23" i="28" s="1"/>
  <c r="N23" i="28" s="1"/>
  <c r="O23" i="28" s="1"/>
  <c r="P23" i="28" s="1"/>
  <c r="Q23" i="28" s="1"/>
  <c r="R23" i="28" s="1"/>
  <c r="S23" i="28" s="1"/>
  <c r="T23" i="28" s="1"/>
  <c r="U23" i="28" s="1"/>
  <c r="V23" i="28" s="1"/>
  <c r="W23" i="28" s="1"/>
  <c r="X23" i="28" s="1"/>
  <c r="Y23" i="28" s="1"/>
  <c r="Z23" i="28" s="1"/>
  <c r="AA23" i="28" s="1"/>
  <c r="AB23" i="28" s="1"/>
  <c r="AC23" i="28" s="1"/>
  <c r="D24" i="28"/>
  <c r="E24" i="28"/>
  <c r="F24" i="28" s="1"/>
  <c r="G24" i="28" s="1"/>
  <c r="H24" i="28" s="1"/>
  <c r="I24" i="28" s="1"/>
  <c r="J24" i="28" s="1"/>
  <c r="K24" i="28" s="1"/>
  <c r="L24" i="28" s="1"/>
  <c r="M24" i="28" s="1"/>
  <c r="N24" i="28" s="1"/>
  <c r="O24" i="28" s="1"/>
  <c r="P24" i="28" s="1"/>
  <c r="Q24" i="28" s="1"/>
  <c r="R24" i="28" s="1"/>
  <c r="S24" i="28" s="1"/>
  <c r="T24" i="28" s="1"/>
  <c r="U24" i="28" s="1"/>
  <c r="V24" i="28" s="1"/>
  <c r="W24" i="28" s="1"/>
  <c r="X24" i="28" s="1"/>
  <c r="Y24" i="28" s="1"/>
  <c r="Z24" i="28" s="1"/>
  <c r="AA24" i="28" s="1"/>
  <c r="AB24" i="28" s="1"/>
  <c r="AC24" i="28" s="1"/>
  <c r="D25" i="28"/>
  <c r="E25" i="28" s="1"/>
  <c r="F25" i="28" s="1"/>
  <c r="G25" i="28" s="1"/>
  <c r="H25" i="28" s="1"/>
  <c r="I25" i="28" s="1"/>
  <c r="J25" i="28" s="1"/>
  <c r="K25" i="28" s="1"/>
  <c r="L25" i="28" s="1"/>
  <c r="M25" i="28" s="1"/>
  <c r="N25" i="28" s="1"/>
  <c r="O25" i="28" s="1"/>
  <c r="P25" i="28" s="1"/>
  <c r="Q25" i="28" s="1"/>
  <c r="R25" i="28" s="1"/>
  <c r="S25" i="28" s="1"/>
  <c r="T25" i="28" s="1"/>
  <c r="U25" i="28" s="1"/>
  <c r="V25" i="28" s="1"/>
  <c r="W25" i="28" s="1"/>
  <c r="X25" i="28" s="1"/>
  <c r="Y25" i="28" s="1"/>
  <c r="Z25" i="28" s="1"/>
  <c r="AA25" i="28" s="1"/>
  <c r="AB25" i="28" s="1"/>
  <c r="AC25" i="28" s="1"/>
  <c r="D26" i="28"/>
  <c r="E26" i="28" s="1"/>
  <c r="F26" i="28" s="1"/>
  <c r="G26" i="28" s="1"/>
  <c r="H26" i="28" s="1"/>
  <c r="I26" i="28" s="1"/>
  <c r="J26" i="28" s="1"/>
  <c r="K26" i="28" s="1"/>
  <c r="L26" i="28" s="1"/>
  <c r="M26" i="28" s="1"/>
  <c r="N26" i="28" s="1"/>
  <c r="O26" i="28" s="1"/>
  <c r="P26" i="28" s="1"/>
  <c r="Q26" i="28" s="1"/>
  <c r="R26" i="28" s="1"/>
  <c r="S26" i="28" s="1"/>
  <c r="T26" i="28" s="1"/>
  <c r="U26" i="28" s="1"/>
  <c r="V26" i="28" s="1"/>
  <c r="W26" i="28" s="1"/>
  <c r="X26" i="28" s="1"/>
  <c r="Y26" i="28" s="1"/>
  <c r="Z26" i="28" s="1"/>
  <c r="AA26" i="28" s="1"/>
  <c r="AB26" i="28" s="1"/>
  <c r="AC26" i="28" s="1"/>
  <c r="D27" i="28"/>
  <c r="E27" i="28" s="1"/>
  <c r="F27" i="28" s="1"/>
  <c r="G27" i="28" s="1"/>
  <c r="H27" i="28" s="1"/>
  <c r="I27" i="28" s="1"/>
  <c r="J27" i="28" s="1"/>
  <c r="K27" i="28" s="1"/>
  <c r="L27" i="28" s="1"/>
  <c r="M27" i="28" s="1"/>
  <c r="N27" i="28" s="1"/>
  <c r="O27" i="28" s="1"/>
  <c r="P27" i="28" s="1"/>
  <c r="Q27" i="28" s="1"/>
  <c r="R27" i="28" s="1"/>
  <c r="S27" i="28" s="1"/>
  <c r="T27" i="28" s="1"/>
  <c r="U27" i="28" s="1"/>
  <c r="V27" i="28" s="1"/>
  <c r="W27" i="28" s="1"/>
  <c r="X27" i="28" s="1"/>
  <c r="Y27" i="28" s="1"/>
  <c r="Z27" i="28" s="1"/>
  <c r="AA27" i="28" s="1"/>
  <c r="AB27" i="28" s="1"/>
  <c r="AC27" i="28" s="1"/>
  <c r="D28" i="28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D29" i="28"/>
  <c r="E29" i="28"/>
  <c r="F29" i="28" s="1"/>
  <c r="G29" i="28" s="1"/>
  <c r="H29" i="28" s="1"/>
  <c r="I29" i="28" s="1"/>
  <c r="J29" i="28" s="1"/>
  <c r="K29" i="28" s="1"/>
  <c r="L29" i="28" s="1"/>
  <c r="M29" i="28" s="1"/>
  <c r="N29" i="28" s="1"/>
  <c r="O29" i="28" s="1"/>
  <c r="P29" i="28" s="1"/>
  <c r="Q29" i="28" s="1"/>
  <c r="R29" i="28" s="1"/>
  <c r="S29" i="28" s="1"/>
  <c r="T29" i="28" s="1"/>
  <c r="U29" i="28" s="1"/>
  <c r="V29" i="28" s="1"/>
  <c r="W29" i="28" s="1"/>
  <c r="X29" i="28" s="1"/>
  <c r="Y29" i="28" s="1"/>
  <c r="Z29" i="28" s="1"/>
  <c r="AA29" i="28" s="1"/>
  <c r="AB29" i="28" s="1"/>
  <c r="AC29" i="28" s="1"/>
  <c r="D30" i="28"/>
  <c r="E30" i="28"/>
  <c r="F30" i="28" s="1"/>
  <c r="G30" i="28" s="1"/>
  <c r="H30" i="28" s="1"/>
  <c r="I30" i="28" s="1"/>
  <c r="J30" i="28" s="1"/>
  <c r="K30" i="28" s="1"/>
  <c r="L30" i="28" s="1"/>
  <c r="M30" i="28" s="1"/>
  <c r="N30" i="28" s="1"/>
  <c r="O30" i="28" s="1"/>
  <c r="P30" i="28" s="1"/>
  <c r="Q30" i="28" s="1"/>
  <c r="R30" i="28" s="1"/>
  <c r="S30" i="28" s="1"/>
  <c r="T30" i="28" s="1"/>
  <c r="U30" i="28" s="1"/>
  <c r="V30" i="28" s="1"/>
  <c r="W30" i="28" s="1"/>
  <c r="X30" i="28" s="1"/>
  <c r="Y30" i="28" s="1"/>
  <c r="Z30" i="28" s="1"/>
  <c r="AA30" i="28" s="1"/>
  <c r="AB30" i="28" s="1"/>
  <c r="AC30" i="28" s="1"/>
  <c r="D31" i="28"/>
  <c r="E31" i="28" s="1"/>
  <c r="F31" i="28" s="1"/>
  <c r="G31" i="28" s="1"/>
  <c r="H31" i="28" s="1"/>
  <c r="I31" i="28" s="1"/>
  <c r="J31" i="28" s="1"/>
  <c r="K31" i="28" s="1"/>
  <c r="L31" i="28" s="1"/>
  <c r="M31" i="28" s="1"/>
  <c r="N31" i="28" s="1"/>
  <c r="O31" i="28" s="1"/>
  <c r="P31" i="28" s="1"/>
  <c r="Q31" i="28" s="1"/>
  <c r="R31" i="28" s="1"/>
  <c r="S31" i="28" s="1"/>
  <c r="T31" i="28" s="1"/>
  <c r="U31" i="28" s="1"/>
  <c r="V31" i="28" s="1"/>
  <c r="W31" i="28" s="1"/>
  <c r="X31" i="28" s="1"/>
  <c r="Y31" i="28" s="1"/>
  <c r="Z31" i="28" s="1"/>
  <c r="AA31" i="28" s="1"/>
  <c r="AB31" i="28" s="1"/>
  <c r="AC31" i="28" s="1"/>
  <c r="D32" i="28"/>
  <c r="E32" i="28" s="1"/>
  <c r="F32" i="28" s="1"/>
  <c r="G32" i="28" s="1"/>
  <c r="H32" i="28" s="1"/>
  <c r="I32" i="28" s="1"/>
  <c r="J32" i="28" s="1"/>
  <c r="K32" i="28" s="1"/>
  <c r="L32" i="28" s="1"/>
  <c r="M32" i="28" s="1"/>
  <c r="N32" i="28" s="1"/>
  <c r="O32" i="28" s="1"/>
  <c r="P32" i="28" s="1"/>
  <c r="Q32" i="28" s="1"/>
  <c r="R32" i="28" s="1"/>
  <c r="S32" i="28" s="1"/>
  <c r="T32" i="28" s="1"/>
  <c r="U32" i="28" s="1"/>
  <c r="V32" i="28" s="1"/>
  <c r="W32" i="28" s="1"/>
  <c r="X32" i="28" s="1"/>
  <c r="Y32" i="28" s="1"/>
  <c r="Z32" i="28" s="1"/>
  <c r="AA32" i="28" s="1"/>
  <c r="AB32" i="28" s="1"/>
  <c r="AC32" i="28" s="1"/>
  <c r="D2" i="27"/>
  <c r="E2" i="27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R2" i="27" s="1"/>
  <c r="S2" i="27" s="1"/>
  <c r="T2" i="27" s="1"/>
  <c r="U2" i="27" s="1"/>
  <c r="V2" i="27" s="1"/>
  <c r="W2" i="27" s="1"/>
  <c r="X2" i="27" s="1"/>
  <c r="Y2" i="27" s="1"/>
  <c r="Z2" i="27" s="1"/>
  <c r="AA2" i="27" s="1"/>
  <c r="AB2" i="27" s="1"/>
  <c r="AC2" i="27" s="1"/>
  <c r="D3" i="27"/>
  <c r="E3" i="27" s="1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X3" i="27" s="1"/>
  <c r="Y3" i="27" s="1"/>
  <c r="Z3" i="27" s="1"/>
  <c r="AA3" i="27" s="1"/>
  <c r="AB3" i="27" s="1"/>
  <c r="AC3" i="27" s="1"/>
  <c r="D4" i="27"/>
  <c r="E4" i="27" s="1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Q4" i="27" s="1"/>
  <c r="R4" i="27" s="1"/>
  <c r="S4" i="27" s="1"/>
  <c r="T4" i="27" s="1"/>
  <c r="U4" i="27" s="1"/>
  <c r="V4" i="27" s="1"/>
  <c r="W4" i="27" s="1"/>
  <c r="X4" i="27" s="1"/>
  <c r="Y4" i="27" s="1"/>
  <c r="Z4" i="27" s="1"/>
  <c r="AA4" i="27" s="1"/>
  <c r="AB4" i="27" s="1"/>
  <c r="AC4" i="27" s="1"/>
  <c r="D5" i="27"/>
  <c r="E5" i="27" s="1"/>
  <c r="F5" i="27" s="1"/>
  <c r="G5" i="27" s="1"/>
  <c r="H5" i="27" s="1"/>
  <c r="I5" i="27"/>
  <c r="J5" i="27" s="1"/>
  <c r="K5" i="27" s="1"/>
  <c r="L5" i="27" s="1"/>
  <c r="M5" i="27" s="1"/>
  <c r="N5" i="27" s="1"/>
  <c r="O5" i="27" s="1"/>
  <c r="P5" i="27" s="1"/>
  <c r="Q5" i="27" s="1"/>
  <c r="R5" i="27" s="1"/>
  <c r="S5" i="27" s="1"/>
  <c r="T5" i="27" s="1"/>
  <c r="U5" i="27" s="1"/>
  <c r="V5" i="27" s="1"/>
  <c r="W5" i="27" s="1"/>
  <c r="X5" i="27" s="1"/>
  <c r="Y5" i="27" s="1"/>
  <c r="Z5" i="27" s="1"/>
  <c r="AA5" i="27" s="1"/>
  <c r="AB5" i="27" s="1"/>
  <c r="AC5" i="27" s="1"/>
  <c r="D6" i="27"/>
  <c r="E6" i="27"/>
  <c r="F6" i="27" s="1"/>
  <c r="G6" i="27"/>
  <c r="H6" i="27" s="1"/>
  <c r="I6" i="27" s="1"/>
  <c r="J6" i="27" s="1"/>
  <c r="K6" i="27" s="1"/>
  <c r="L6" i="27" s="1"/>
  <c r="M6" i="27" s="1"/>
  <c r="N6" i="27" s="1"/>
  <c r="O6" i="27" s="1"/>
  <c r="P6" i="27" s="1"/>
  <c r="Q6" i="27" s="1"/>
  <c r="R6" i="27" s="1"/>
  <c r="S6" i="27" s="1"/>
  <c r="T6" i="27" s="1"/>
  <c r="U6" i="27" s="1"/>
  <c r="V6" i="27" s="1"/>
  <c r="W6" i="27" s="1"/>
  <c r="X6" i="27" s="1"/>
  <c r="Y6" i="27" s="1"/>
  <c r="Z6" i="27" s="1"/>
  <c r="AA6" i="27" s="1"/>
  <c r="AB6" i="27" s="1"/>
  <c r="AC6" i="27" s="1"/>
  <c r="D7" i="27"/>
  <c r="E7" i="27"/>
  <c r="F7" i="27"/>
  <c r="G7" i="27"/>
  <c r="H7" i="27"/>
  <c r="I7" i="27" s="1"/>
  <c r="J7" i="27" s="1"/>
  <c r="K7" i="27" s="1"/>
  <c r="L7" i="27" s="1"/>
  <c r="M7" i="27" s="1"/>
  <c r="N7" i="27" s="1"/>
  <c r="O7" i="27" s="1"/>
  <c r="P7" i="27" s="1"/>
  <c r="Q7" i="27" s="1"/>
  <c r="R7" i="27"/>
  <c r="S7" i="27" s="1"/>
  <c r="T7" i="27" s="1"/>
  <c r="U7" i="27" s="1"/>
  <c r="V7" i="27" s="1"/>
  <c r="W7" i="27" s="1"/>
  <c r="X7" i="27" s="1"/>
  <c r="Y7" i="27" s="1"/>
  <c r="Z7" i="27" s="1"/>
  <c r="AA7" i="27" s="1"/>
  <c r="AB7" i="27" s="1"/>
  <c r="AC7" i="27" s="1"/>
  <c r="D8" i="27"/>
  <c r="E8" i="27"/>
  <c r="F8" i="27" s="1"/>
  <c r="G8" i="27" s="1"/>
  <c r="H8" i="27" s="1"/>
  <c r="I8" i="27" s="1"/>
  <c r="J8" i="27" s="1"/>
  <c r="K8" i="27" s="1"/>
  <c r="L8" i="27" s="1"/>
  <c r="M8" i="27" s="1"/>
  <c r="N8" i="27" s="1"/>
  <c r="O8" i="27" s="1"/>
  <c r="P8" i="27" s="1"/>
  <c r="Q8" i="27" s="1"/>
  <c r="R8" i="27" s="1"/>
  <c r="S8" i="27" s="1"/>
  <c r="T8" i="27" s="1"/>
  <c r="U8" i="27" s="1"/>
  <c r="V8" i="27" s="1"/>
  <c r="W8" i="27" s="1"/>
  <c r="X8" i="27" s="1"/>
  <c r="Y8" i="27" s="1"/>
  <c r="Z8" i="27" s="1"/>
  <c r="AA8" i="27" s="1"/>
  <c r="AB8" i="27" s="1"/>
  <c r="AC8" i="27" s="1"/>
  <c r="D9" i="27"/>
  <c r="E9" i="27" s="1"/>
  <c r="F9" i="27" s="1"/>
  <c r="G9" i="27" s="1"/>
  <c r="H9" i="27" s="1"/>
  <c r="I9" i="27" s="1"/>
  <c r="J9" i="27" s="1"/>
  <c r="K9" i="27" s="1"/>
  <c r="L9" i="27" s="1"/>
  <c r="M9" i="27" s="1"/>
  <c r="N9" i="27"/>
  <c r="O9" i="27" s="1"/>
  <c r="P9" i="27" s="1"/>
  <c r="Q9" i="27" s="1"/>
  <c r="R9" i="27" s="1"/>
  <c r="S9" i="27" s="1"/>
  <c r="T9" i="27" s="1"/>
  <c r="U9" i="27" s="1"/>
  <c r="V9" i="27" s="1"/>
  <c r="W9" i="27" s="1"/>
  <c r="X9" i="27" s="1"/>
  <c r="Y9" i="27" s="1"/>
  <c r="Z9" i="27" s="1"/>
  <c r="AA9" i="27" s="1"/>
  <c r="AB9" i="27" s="1"/>
  <c r="AC9" i="27" s="1"/>
  <c r="D10" i="27"/>
  <c r="E10" i="27" s="1"/>
  <c r="F10" i="27" s="1"/>
  <c r="G10" i="27" s="1"/>
  <c r="H10" i="27" s="1"/>
  <c r="I10" i="27" s="1"/>
  <c r="J10" i="27" s="1"/>
  <c r="K10" i="27" s="1"/>
  <c r="L10" i="27" s="1"/>
  <c r="M10" i="27" s="1"/>
  <c r="N10" i="27" s="1"/>
  <c r="O10" i="27" s="1"/>
  <c r="P10" i="27" s="1"/>
  <c r="Q10" i="27" s="1"/>
  <c r="R10" i="27" s="1"/>
  <c r="S10" i="27" s="1"/>
  <c r="T10" i="27" s="1"/>
  <c r="U10" i="27" s="1"/>
  <c r="V10" i="27" s="1"/>
  <c r="W10" i="27" s="1"/>
  <c r="X10" i="27" s="1"/>
  <c r="Y10" i="27" s="1"/>
  <c r="Z10" i="27" s="1"/>
  <c r="AA10" i="27" s="1"/>
  <c r="AB10" i="27" s="1"/>
  <c r="AC10" i="27" s="1"/>
  <c r="D11" i="27"/>
  <c r="E11" i="27" s="1"/>
  <c r="F11" i="27" s="1"/>
  <c r="G11" i="27" s="1"/>
  <c r="H11" i="27" s="1"/>
  <c r="I11" i="27" s="1"/>
  <c r="J11" i="27"/>
  <c r="K11" i="27" s="1"/>
  <c r="L11" i="27" s="1"/>
  <c r="M11" i="27" s="1"/>
  <c r="N11" i="27" s="1"/>
  <c r="O11" i="27" s="1"/>
  <c r="P11" i="27" s="1"/>
  <c r="Q11" i="27" s="1"/>
  <c r="R11" i="27" s="1"/>
  <c r="S11" i="27" s="1"/>
  <c r="T11" i="27" s="1"/>
  <c r="U11" i="27" s="1"/>
  <c r="V11" i="27" s="1"/>
  <c r="W11" i="27" s="1"/>
  <c r="X11" i="27" s="1"/>
  <c r="Y11" i="27" s="1"/>
  <c r="Z11" i="27" s="1"/>
  <c r="AA11" i="27" s="1"/>
  <c r="AB11" i="27" s="1"/>
  <c r="AC11" i="27" s="1"/>
  <c r="D12" i="27"/>
  <c r="E12" i="27"/>
  <c r="F12" i="27" s="1"/>
  <c r="G12" i="27" s="1"/>
  <c r="H12" i="27"/>
  <c r="I12" i="27"/>
  <c r="J12" i="27"/>
  <c r="K12" i="27" s="1"/>
  <c r="L12" i="27" s="1"/>
  <c r="M12" i="27" s="1"/>
  <c r="N12" i="27" s="1"/>
  <c r="O12" i="27" s="1"/>
  <c r="P12" i="27" s="1"/>
  <c r="Q12" i="27" s="1"/>
  <c r="R12" i="27" s="1"/>
  <c r="S12" i="27" s="1"/>
  <c r="T12" i="27" s="1"/>
  <c r="U12" i="27" s="1"/>
  <c r="V12" i="27" s="1"/>
  <c r="W12" i="27" s="1"/>
  <c r="X12" i="27" s="1"/>
  <c r="Y12" i="27" s="1"/>
  <c r="Z12" i="27" s="1"/>
  <c r="AA12" i="27" s="1"/>
  <c r="AB12" i="27" s="1"/>
  <c r="AC12" i="27" s="1"/>
  <c r="D13" i="27"/>
  <c r="E13" i="27"/>
  <c r="F13" i="27"/>
  <c r="G13" i="27" s="1"/>
  <c r="H13" i="27" s="1"/>
  <c r="I13" i="27" s="1"/>
  <c r="J13" i="27" s="1"/>
  <c r="K13" i="27" s="1"/>
  <c r="L13" i="27" s="1"/>
  <c r="M13" i="27" s="1"/>
  <c r="N13" i="27" s="1"/>
  <c r="O13" i="27" s="1"/>
  <c r="P13" i="27" s="1"/>
  <c r="Q13" i="27" s="1"/>
  <c r="R13" i="27" s="1"/>
  <c r="S13" i="27" s="1"/>
  <c r="T13" i="27" s="1"/>
  <c r="U13" i="27" s="1"/>
  <c r="V13" i="27" s="1"/>
  <c r="W13" i="27" s="1"/>
  <c r="X13" i="27" s="1"/>
  <c r="Y13" i="27" s="1"/>
  <c r="Z13" i="27" s="1"/>
  <c r="AA13" i="27" s="1"/>
  <c r="AB13" i="27" s="1"/>
  <c r="AC13" i="27" s="1"/>
  <c r="D14" i="27"/>
  <c r="E14" i="27" s="1"/>
  <c r="F14" i="27" s="1"/>
  <c r="G14" i="27" s="1"/>
  <c r="H14" i="27" s="1"/>
  <c r="I14" i="27" s="1"/>
  <c r="J14" i="27" s="1"/>
  <c r="K14" i="27" s="1"/>
  <c r="L14" i="27" s="1"/>
  <c r="M14" i="27" s="1"/>
  <c r="N14" i="27" s="1"/>
  <c r="O14" i="27" s="1"/>
  <c r="P14" i="27" s="1"/>
  <c r="Q14" i="27" s="1"/>
  <c r="R14" i="27" s="1"/>
  <c r="S14" i="27" s="1"/>
  <c r="T14" i="27" s="1"/>
  <c r="U14" i="27" s="1"/>
  <c r="V14" i="27" s="1"/>
  <c r="W14" i="27" s="1"/>
  <c r="X14" i="27" s="1"/>
  <c r="Y14" i="27" s="1"/>
  <c r="Z14" i="27" s="1"/>
  <c r="AA14" i="27" s="1"/>
  <c r="AB14" i="27" s="1"/>
  <c r="AC14" i="27" s="1"/>
  <c r="D15" i="27"/>
  <c r="E15" i="27" s="1"/>
  <c r="F15" i="27" s="1"/>
  <c r="G15" i="27" s="1"/>
  <c r="H15" i="27" s="1"/>
  <c r="I15" i="27" s="1"/>
  <c r="J15" i="27" s="1"/>
  <c r="K15" i="27" s="1"/>
  <c r="L15" i="27" s="1"/>
  <c r="M15" i="27" s="1"/>
  <c r="N15" i="27"/>
  <c r="O15" i="27"/>
  <c r="P15" i="27"/>
  <c r="Q15" i="27" s="1"/>
  <c r="R15" i="27" s="1"/>
  <c r="S15" i="27" s="1"/>
  <c r="T15" i="27" s="1"/>
  <c r="U15" i="27" s="1"/>
  <c r="V15" i="27" s="1"/>
  <c r="W15" i="27" s="1"/>
  <c r="X15" i="27" s="1"/>
  <c r="Y15" i="27" s="1"/>
  <c r="Z15" i="27"/>
  <c r="AA15" i="27" s="1"/>
  <c r="AB15" i="27" s="1"/>
  <c r="AC15" i="27" s="1"/>
  <c r="D16" i="27"/>
  <c r="E16" i="27" s="1"/>
  <c r="F16" i="27" s="1"/>
  <c r="G16" i="27" s="1"/>
  <c r="H16" i="27" s="1"/>
  <c r="I16" i="27" s="1"/>
  <c r="J16" i="27" s="1"/>
  <c r="K16" i="27" s="1"/>
  <c r="L16" i="27"/>
  <c r="M16" i="27" s="1"/>
  <c r="N16" i="27" s="1"/>
  <c r="O16" i="27" s="1"/>
  <c r="P16" i="27" s="1"/>
  <c r="Q16" i="27" s="1"/>
  <c r="R16" i="27" s="1"/>
  <c r="S16" i="27" s="1"/>
  <c r="T16" i="27" s="1"/>
  <c r="U16" i="27" s="1"/>
  <c r="V16" i="27" s="1"/>
  <c r="W16" i="27" s="1"/>
  <c r="X16" i="27" s="1"/>
  <c r="Y16" i="27" s="1"/>
  <c r="Z16" i="27" s="1"/>
  <c r="AA16" i="27" s="1"/>
  <c r="AB16" i="27" s="1"/>
  <c r="AC16" i="27" s="1"/>
  <c r="D17" i="27"/>
  <c r="E17" i="27" s="1"/>
  <c r="F17" i="27" s="1"/>
  <c r="G17" i="27" s="1"/>
  <c r="H17" i="27" s="1"/>
  <c r="I17" i="27" s="1"/>
  <c r="J17" i="27"/>
  <c r="K17" i="27"/>
  <c r="L17" i="27" s="1"/>
  <c r="M17" i="27" s="1"/>
  <c r="N17" i="27" s="1"/>
  <c r="O17" i="27" s="1"/>
  <c r="P17" i="27" s="1"/>
  <c r="Q17" i="27" s="1"/>
  <c r="R17" i="27" s="1"/>
  <c r="S17" i="27" s="1"/>
  <c r="T17" i="27" s="1"/>
  <c r="U17" i="27" s="1"/>
  <c r="V17" i="27" s="1"/>
  <c r="W17" i="27" s="1"/>
  <c r="X17" i="27" s="1"/>
  <c r="Y17" i="27" s="1"/>
  <c r="Z17" i="27" s="1"/>
  <c r="AA17" i="27" s="1"/>
  <c r="AB17" i="27" s="1"/>
  <c r="AC17" i="27" s="1"/>
  <c r="D18" i="27"/>
  <c r="E18" i="27"/>
  <c r="F18" i="27" s="1"/>
  <c r="G18" i="27"/>
  <c r="H18" i="27"/>
  <c r="I18" i="27"/>
  <c r="J18" i="27"/>
  <c r="K18" i="27" s="1"/>
  <c r="L18" i="27" s="1"/>
  <c r="M18" i="27" s="1"/>
  <c r="N18" i="27" s="1"/>
  <c r="O18" i="27" s="1"/>
  <c r="P18" i="27" s="1"/>
  <c r="Q18" i="27" s="1"/>
  <c r="R18" i="27" s="1"/>
  <c r="S18" i="27"/>
  <c r="T18" i="27" s="1"/>
  <c r="U18" i="27" s="1"/>
  <c r="V18" i="27" s="1"/>
  <c r="W18" i="27" s="1"/>
  <c r="X18" i="27" s="1"/>
  <c r="Y18" i="27" s="1"/>
  <c r="Z18" i="27" s="1"/>
  <c r="AA18" i="27" s="1"/>
  <c r="AB18" i="27" s="1"/>
  <c r="AC18" i="27" s="1"/>
  <c r="D19" i="27"/>
  <c r="E19" i="27"/>
  <c r="F19" i="27"/>
  <c r="G19" i="27" s="1"/>
  <c r="H19" i="27" s="1"/>
  <c r="I19" i="27" s="1"/>
  <c r="J19" i="27" s="1"/>
  <c r="K19" i="27" s="1"/>
  <c r="L19" i="27" s="1"/>
  <c r="M19" i="27" s="1"/>
  <c r="N19" i="27" s="1"/>
  <c r="O19" i="27" s="1"/>
  <c r="P19" i="27" s="1"/>
  <c r="Q19" i="27" s="1"/>
  <c r="R19" i="27" s="1"/>
  <c r="S19" i="27" s="1"/>
  <c r="T19" i="27" s="1"/>
  <c r="U19" i="27" s="1"/>
  <c r="V19" i="27" s="1"/>
  <c r="W19" i="27" s="1"/>
  <c r="X19" i="27" s="1"/>
  <c r="Y19" i="27" s="1"/>
  <c r="Z19" i="27" s="1"/>
  <c r="AA19" i="27" s="1"/>
  <c r="AB19" i="27" s="1"/>
  <c r="AC19" i="27" s="1"/>
  <c r="D20" i="27"/>
  <c r="E20" i="27" s="1"/>
  <c r="F20" i="27" s="1"/>
  <c r="G20" i="27" s="1"/>
  <c r="H20" i="27" s="1"/>
  <c r="I20" i="27" s="1"/>
  <c r="J20" i="27" s="1"/>
  <c r="K20" i="27" s="1"/>
  <c r="L20" i="27" s="1"/>
  <c r="M20" i="27" s="1"/>
  <c r="N20" i="27" s="1"/>
  <c r="O20" i="27" s="1"/>
  <c r="P20" i="27" s="1"/>
  <c r="Q20" i="27" s="1"/>
  <c r="R20" i="27" s="1"/>
  <c r="S20" i="27" s="1"/>
  <c r="T20" i="27" s="1"/>
  <c r="U20" i="27" s="1"/>
  <c r="V20" i="27" s="1"/>
  <c r="W20" i="27" s="1"/>
  <c r="X20" i="27" s="1"/>
  <c r="Y20" i="27" s="1"/>
  <c r="Z20" i="27" s="1"/>
  <c r="AA20" i="27" s="1"/>
  <c r="AB20" i="27" s="1"/>
  <c r="AC20" i="27" s="1"/>
  <c r="D21" i="27"/>
  <c r="E21" i="27" s="1"/>
  <c r="F21" i="27" s="1"/>
  <c r="G21" i="27" s="1"/>
  <c r="H21" i="27" s="1"/>
  <c r="I21" i="27" s="1"/>
  <c r="J21" i="27" s="1"/>
  <c r="K21" i="27" s="1"/>
  <c r="L21" i="27" s="1"/>
  <c r="M21" i="27" s="1"/>
  <c r="N21" i="27" s="1"/>
  <c r="O21" i="27" s="1"/>
  <c r="P21" i="27" s="1"/>
  <c r="Q21" i="27" s="1"/>
  <c r="R21" i="27" s="1"/>
  <c r="S21" i="27" s="1"/>
  <c r="T21" i="27" s="1"/>
  <c r="U21" i="27" s="1"/>
  <c r="V21" i="27" s="1"/>
  <c r="W21" i="27" s="1"/>
  <c r="X21" i="27" s="1"/>
  <c r="Y21" i="27" s="1"/>
  <c r="Z21" i="27" s="1"/>
  <c r="AA21" i="27" s="1"/>
  <c r="AB21" i="27" s="1"/>
  <c r="AC21" i="27" s="1"/>
  <c r="D22" i="27"/>
  <c r="E22" i="27" s="1"/>
  <c r="F22" i="27" s="1"/>
  <c r="G22" i="27" s="1"/>
  <c r="H22" i="27" s="1"/>
  <c r="I22" i="27" s="1"/>
  <c r="J22" i="27" s="1"/>
  <c r="K22" i="27"/>
  <c r="L22" i="27"/>
  <c r="M22" i="27"/>
  <c r="N22" i="27" s="1"/>
  <c r="O22" i="27" s="1"/>
  <c r="P22" i="27" s="1"/>
  <c r="Q22" i="27" s="1"/>
  <c r="R22" i="27" s="1"/>
  <c r="S22" i="27" s="1"/>
  <c r="T22" i="27" s="1"/>
  <c r="U22" i="27" s="1"/>
  <c r="V22" i="27" s="1"/>
  <c r="W22" i="27" s="1"/>
  <c r="X22" i="27" s="1"/>
  <c r="Y22" i="27" s="1"/>
  <c r="Z22" i="27" s="1"/>
  <c r="AA22" i="27" s="1"/>
  <c r="AB22" i="27" s="1"/>
  <c r="AC22" i="27" s="1"/>
  <c r="D23" i="27"/>
  <c r="E23" i="27" s="1"/>
  <c r="F23" i="27" s="1"/>
  <c r="G23" i="27" s="1"/>
  <c r="H23" i="27" s="1"/>
  <c r="I23" i="27" s="1"/>
  <c r="J23" i="27" s="1"/>
  <c r="K23" i="27" s="1"/>
  <c r="L23" i="27" s="1"/>
  <c r="M23" i="27" s="1"/>
  <c r="N23" i="27" s="1"/>
  <c r="O23" i="27" s="1"/>
  <c r="P23" i="27" s="1"/>
  <c r="Q23" i="27" s="1"/>
  <c r="R23" i="27" s="1"/>
  <c r="S23" i="27" s="1"/>
  <c r="T23" i="27" s="1"/>
  <c r="U23" i="27" s="1"/>
  <c r="V23" i="27" s="1"/>
  <c r="W23" i="27" s="1"/>
  <c r="X23" i="27" s="1"/>
  <c r="Y23" i="27" s="1"/>
  <c r="Z23" i="27" s="1"/>
  <c r="AA23" i="27" s="1"/>
  <c r="AB23" i="27" s="1"/>
  <c r="AC23" i="27" s="1"/>
  <c r="D24" i="27"/>
  <c r="E24" i="27"/>
  <c r="F24" i="27" s="1"/>
  <c r="G24" i="27" s="1"/>
  <c r="H24" i="27" s="1"/>
  <c r="I24" i="27" s="1"/>
  <c r="J24" i="27" s="1"/>
  <c r="K24" i="27" s="1"/>
  <c r="L24" i="27" s="1"/>
  <c r="M24" i="27" s="1"/>
  <c r="N24" i="27" s="1"/>
  <c r="O24" i="27" s="1"/>
  <c r="P24" i="27" s="1"/>
  <c r="Q24" i="27" s="1"/>
  <c r="R24" i="27" s="1"/>
  <c r="S24" i="27" s="1"/>
  <c r="T24" i="27" s="1"/>
  <c r="U24" i="27" s="1"/>
  <c r="V24" i="27" s="1"/>
  <c r="W24" i="27" s="1"/>
  <c r="X24" i="27" s="1"/>
  <c r="Y24" i="27" s="1"/>
  <c r="Z24" i="27" s="1"/>
  <c r="AA24" i="27" s="1"/>
  <c r="AB24" i="27" s="1"/>
  <c r="AC24" i="27" s="1"/>
  <c r="D25" i="27"/>
  <c r="E25" i="27"/>
  <c r="F25" i="27" s="1"/>
  <c r="G25" i="27" s="1"/>
  <c r="H25" i="27" s="1"/>
  <c r="I25" i="27" s="1"/>
  <c r="J25" i="27" s="1"/>
  <c r="K25" i="27" s="1"/>
  <c r="L25" i="27" s="1"/>
  <c r="M25" i="27" s="1"/>
  <c r="N25" i="27" s="1"/>
  <c r="O25" i="27" s="1"/>
  <c r="P25" i="27" s="1"/>
  <c r="Q25" i="27" s="1"/>
  <c r="R25" i="27" s="1"/>
  <c r="S25" i="27" s="1"/>
  <c r="T25" i="27" s="1"/>
  <c r="U25" i="27" s="1"/>
  <c r="V25" i="27" s="1"/>
  <c r="W25" i="27" s="1"/>
  <c r="X25" i="27" s="1"/>
  <c r="Y25" i="27" s="1"/>
  <c r="Z25" i="27" s="1"/>
  <c r="AA25" i="27" s="1"/>
  <c r="AB25" i="27" s="1"/>
  <c r="AC25" i="27" s="1"/>
  <c r="D26" i="27"/>
  <c r="E26" i="27"/>
  <c r="F26" i="27" s="1"/>
  <c r="G26" i="27" s="1"/>
  <c r="H26" i="27" s="1"/>
  <c r="I26" i="27" s="1"/>
  <c r="J26" i="27" s="1"/>
  <c r="K26" i="27" s="1"/>
  <c r="L26" i="27" s="1"/>
  <c r="M26" i="27" s="1"/>
  <c r="N26" i="27" s="1"/>
  <c r="O26" i="27" s="1"/>
  <c r="P26" i="27" s="1"/>
  <c r="Q26" i="27" s="1"/>
  <c r="R26" i="27" s="1"/>
  <c r="S26" i="27" s="1"/>
  <c r="T26" i="27" s="1"/>
  <c r="U26" i="27" s="1"/>
  <c r="V26" i="27" s="1"/>
  <c r="W26" i="27" s="1"/>
  <c r="X26" i="27" s="1"/>
  <c r="Y26" i="27" s="1"/>
  <c r="Z26" i="27" s="1"/>
  <c r="AA26" i="27" s="1"/>
  <c r="AB26" i="27" s="1"/>
  <c r="AC26" i="27" s="1"/>
  <c r="D27" i="27"/>
  <c r="E27" i="27" s="1"/>
  <c r="F27" i="27" s="1"/>
  <c r="G27" i="27" s="1"/>
  <c r="H27" i="27" s="1"/>
  <c r="I27" i="27" s="1"/>
  <c r="J27" i="27" s="1"/>
  <c r="K27" i="27" s="1"/>
  <c r="L27" i="27" s="1"/>
  <c r="M27" i="27"/>
  <c r="N27" i="27"/>
  <c r="O27" i="27"/>
  <c r="P27" i="27" s="1"/>
  <c r="Q27" i="27" s="1"/>
  <c r="R27" i="27" s="1"/>
  <c r="S27" i="27" s="1"/>
  <c r="T27" i="27" s="1"/>
  <c r="U27" i="27" s="1"/>
  <c r="V27" i="27" s="1"/>
  <c r="W27" i="27" s="1"/>
  <c r="X27" i="27" s="1"/>
  <c r="Y27" i="27" s="1"/>
  <c r="Z27" i="27" s="1"/>
  <c r="AA27" i="27" s="1"/>
  <c r="AB27" i="27" s="1"/>
  <c r="AC27" i="27" s="1"/>
  <c r="D28" i="27"/>
  <c r="E28" i="27" s="1"/>
  <c r="F28" i="27" s="1"/>
  <c r="G28" i="27" s="1"/>
  <c r="H28" i="27" s="1"/>
  <c r="I28" i="27" s="1"/>
  <c r="J28" i="27" s="1"/>
  <c r="K28" i="27" s="1"/>
  <c r="L28" i="27" s="1"/>
  <c r="M28" i="27" s="1"/>
  <c r="N28" i="27" s="1"/>
  <c r="O28" i="27" s="1"/>
  <c r="P28" i="27" s="1"/>
  <c r="Q28" i="27" s="1"/>
  <c r="R28" i="27" s="1"/>
  <c r="S28" i="27" s="1"/>
  <c r="T28" i="27" s="1"/>
  <c r="U28" i="27" s="1"/>
  <c r="V28" i="27" s="1"/>
  <c r="W28" i="27" s="1"/>
  <c r="X28" i="27" s="1"/>
  <c r="Y28" i="27" s="1"/>
  <c r="Z28" i="27" s="1"/>
  <c r="AA28" i="27" s="1"/>
  <c r="AB28" i="27" s="1"/>
  <c r="AC28" i="27" s="1"/>
  <c r="D29" i="27"/>
  <c r="E29" i="27" s="1"/>
  <c r="F29" i="27" s="1"/>
  <c r="G29" i="27" s="1"/>
  <c r="H29" i="27" s="1"/>
  <c r="I29" i="27"/>
  <c r="J29" i="27" s="1"/>
  <c r="K29" i="27" s="1"/>
  <c r="L29" i="27" s="1"/>
  <c r="M29" i="27" s="1"/>
  <c r="N29" i="27" s="1"/>
  <c r="O29" i="27" s="1"/>
  <c r="P29" i="27" s="1"/>
  <c r="Q29" i="27" s="1"/>
  <c r="R29" i="27" s="1"/>
  <c r="S29" i="27" s="1"/>
  <c r="T29" i="27" s="1"/>
  <c r="U29" i="27" s="1"/>
  <c r="V29" i="27" s="1"/>
  <c r="W29" i="27" s="1"/>
  <c r="X29" i="27" s="1"/>
  <c r="Y29" i="27" s="1"/>
  <c r="Z29" i="27" s="1"/>
  <c r="AA29" i="27" s="1"/>
  <c r="AB29" i="27" s="1"/>
  <c r="AC29" i="27" s="1"/>
  <c r="D30" i="27"/>
  <c r="E30" i="27"/>
  <c r="F30" i="27" s="1"/>
  <c r="G30" i="27"/>
  <c r="H30" i="27" s="1"/>
  <c r="I30" i="27" s="1"/>
  <c r="J30" i="27" s="1"/>
  <c r="K30" i="27" s="1"/>
  <c r="L30" i="27" s="1"/>
  <c r="M30" i="27" s="1"/>
  <c r="N30" i="27" s="1"/>
  <c r="O30" i="27" s="1"/>
  <c r="P30" i="27" s="1"/>
  <c r="Q30" i="27" s="1"/>
  <c r="R30" i="27" s="1"/>
  <c r="S30" i="27" s="1"/>
  <c r="T30" i="27" s="1"/>
  <c r="U30" i="27" s="1"/>
  <c r="V30" i="27" s="1"/>
  <c r="W30" i="27" s="1"/>
  <c r="X30" i="27" s="1"/>
  <c r="Y30" i="27" s="1"/>
  <c r="Z30" i="27" s="1"/>
  <c r="AA30" i="27" s="1"/>
  <c r="AB30" i="27" s="1"/>
  <c r="AC30" i="27" s="1"/>
  <c r="D31" i="27"/>
  <c r="E31" i="27"/>
  <c r="F31" i="27"/>
  <c r="G31" i="27" s="1"/>
  <c r="H31" i="27" s="1"/>
  <c r="I31" i="27" s="1"/>
  <c r="J31" i="27" s="1"/>
  <c r="K31" i="27" s="1"/>
  <c r="L31" i="27" s="1"/>
  <c r="M31" i="27" s="1"/>
  <c r="N31" i="27" s="1"/>
  <c r="O31" i="27" s="1"/>
  <c r="P31" i="27" s="1"/>
  <c r="Q31" i="27" s="1"/>
  <c r="R31" i="27" s="1"/>
  <c r="S31" i="27" s="1"/>
  <c r="T31" i="27" s="1"/>
  <c r="U31" i="27" s="1"/>
  <c r="V31" i="27" s="1"/>
  <c r="W31" i="27" s="1"/>
  <c r="X31" i="27" s="1"/>
  <c r="Y31" i="27" s="1"/>
  <c r="Z31" i="27" s="1"/>
  <c r="AA31" i="27" s="1"/>
  <c r="AB31" i="27" s="1"/>
  <c r="AC31" i="27" s="1"/>
  <c r="D32" i="27"/>
  <c r="E32" i="27"/>
  <c r="F32" i="27"/>
  <c r="G32" i="27" s="1"/>
  <c r="H32" i="27" s="1"/>
  <c r="I32" i="27" s="1"/>
  <c r="J32" i="27" s="1"/>
  <c r="K32" i="27" s="1"/>
  <c r="L32" i="27" s="1"/>
  <c r="M32" i="27" s="1"/>
  <c r="N32" i="27" s="1"/>
  <c r="O32" i="27"/>
  <c r="P32" i="27"/>
  <c r="Q32" i="27" s="1"/>
  <c r="R32" i="27" s="1"/>
  <c r="S32" i="27" s="1"/>
  <c r="T32" i="27" s="1"/>
  <c r="U32" i="27" s="1"/>
  <c r="V32" i="27" s="1"/>
  <c r="W32" i="27" s="1"/>
  <c r="X32" i="27" s="1"/>
  <c r="Y32" i="27" s="1"/>
  <c r="Z32" i="27" s="1"/>
  <c r="AA32" i="27" s="1"/>
  <c r="AB32" i="27" s="1"/>
  <c r="AC32" i="27" s="1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32" i="26"/>
  <c r="D32" i="26" s="1"/>
  <c r="E32" i="26" s="1"/>
  <c r="F32" i="26" s="1"/>
  <c r="G32" i="26" s="1"/>
  <c r="H32" i="26" s="1"/>
  <c r="I32" i="26" s="1"/>
  <c r="J32" i="26" s="1"/>
  <c r="K32" i="26" s="1"/>
  <c r="L32" i="26" s="1"/>
  <c r="M32" i="26" s="1"/>
  <c r="N32" i="26" s="1"/>
  <c r="O32" i="26" s="1"/>
  <c r="P32" i="26" s="1"/>
  <c r="Q32" i="26" s="1"/>
  <c r="R32" i="26" s="1"/>
  <c r="S32" i="26" s="1"/>
  <c r="T32" i="26" s="1"/>
  <c r="U32" i="26" s="1"/>
  <c r="V32" i="26" s="1"/>
  <c r="W32" i="26" s="1"/>
  <c r="X32" i="26" s="1"/>
  <c r="Y32" i="26" s="1"/>
  <c r="Z32" i="26" s="1"/>
  <c r="AA32" i="26" s="1"/>
  <c r="AB32" i="26" s="1"/>
  <c r="AC32" i="26" s="1"/>
  <c r="C31" i="26"/>
  <c r="D31" i="26" s="1"/>
  <c r="E31" i="26" s="1"/>
  <c r="F31" i="26" s="1"/>
  <c r="G31" i="26" s="1"/>
  <c r="H31" i="26" s="1"/>
  <c r="I31" i="26" s="1"/>
  <c r="J31" i="26" s="1"/>
  <c r="K31" i="26" s="1"/>
  <c r="L31" i="26" s="1"/>
  <c r="M31" i="26" s="1"/>
  <c r="N31" i="26" s="1"/>
  <c r="O31" i="26" s="1"/>
  <c r="P31" i="26" s="1"/>
  <c r="Q31" i="26" s="1"/>
  <c r="R31" i="26" s="1"/>
  <c r="S31" i="26" s="1"/>
  <c r="T31" i="26" s="1"/>
  <c r="U31" i="26" s="1"/>
  <c r="V31" i="26" s="1"/>
  <c r="W31" i="26" s="1"/>
  <c r="X31" i="26" s="1"/>
  <c r="Y31" i="26" s="1"/>
  <c r="Z31" i="26" s="1"/>
  <c r="AA31" i="26" s="1"/>
  <c r="AB31" i="26" s="1"/>
  <c r="AC31" i="26" s="1"/>
  <c r="C30" i="26"/>
  <c r="D30" i="26" s="1"/>
  <c r="E30" i="26" s="1"/>
  <c r="F30" i="26" s="1"/>
  <c r="G30" i="26" s="1"/>
  <c r="H30" i="26" s="1"/>
  <c r="I30" i="26" s="1"/>
  <c r="J30" i="26" s="1"/>
  <c r="K30" i="26" s="1"/>
  <c r="L30" i="26" s="1"/>
  <c r="M30" i="26" s="1"/>
  <c r="N30" i="26" s="1"/>
  <c r="O30" i="26" s="1"/>
  <c r="P30" i="26" s="1"/>
  <c r="Q30" i="26" s="1"/>
  <c r="R30" i="26" s="1"/>
  <c r="S30" i="26" s="1"/>
  <c r="T30" i="26" s="1"/>
  <c r="U30" i="26" s="1"/>
  <c r="V30" i="26" s="1"/>
  <c r="W30" i="26" s="1"/>
  <c r="X30" i="26" s="1"/>
  <c r="Y30" i="26" s="1"/>
  <c r="Z30" i="26" s="1"/>
  <c r="AA30" i="26" s="1"/>
  <c r="AB30" i="26" s="1"/>
  <c r="AC30" i="26" s="1"/>
  <c r="C29" i="26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C28" i="26"/>
  <c r="D28" i="26" s="1"/>
  <c r="E28" i="26" s="1"/>
  <c r="F28" i="26" s="1"/>
  <c r="G28" i="26" s="1"/>
  <c r="H28" i="26" s="1"/>
  <c r="I28" i="26" s="1"/>
  <c r="J28" i="26" s="1"/>
  <c r="K28" i="26" s="1"/>
  <c r="L28" i="26" s="1"/>
  <c r="M28" i="26" s="1"/>
  <c r="N28" i="26" s="1"/>
  <c r="O28" i="26" s="1"/>
  <c r="P28" i="26" s="1"/>
  <c r="Q28" i="26" s="1"/>
  <c r="R28" i="26" s="1"/>
  <c r="S28" i="26" s="1"/>
  <c r="T28" i="26" s="1"/>
  <c r="U28" i="26" s="1"/>
  <c r="V28" i="26" s="1"/>
  <c r="W28" i="26" s="1"/>
  <c r="X28" i="26" s="1"/>
  <c r="Y28" i="26" s="1"/>
  <c r="Z28" i="26" s="1"/>
  <c r="AA28" i="26" s="1"/>
  <c r="AB28" i="26" s="1"/>
  <c r="AC28" i="26" s="1"/>
  <c r="C27" i="26"/>
  <c r="D27" i="26" s="1"/>
  <c r="E27" i="26" s="1"/>
  <c r="F27" i="26" s="1"/>
  <c r="G27" i="26" s="1"/>
  <c r="H27" i="26" s="1"/>
  <c r="I27" i="26" s="1"/>
  <c r="J27" i="26" s="1"/>
  <c r="K27" i="26" s="1"/>
  <c r="L27" i="26" s="1"/>
  <c r="M27" i="26" s="1"/>
  <c r="N27" i="26" s="1"/>
  <c r="O27" i="26" s="1"/>
  <c r="P27" i="26" s="1"/>
  <c r="Q27" i="26" s="1"/>
  <c r="R27" i="26" s="1"/>
  <c r="S27" i="26" s="1"/>
  <c r="T27" i="26" s="1"/>
  <c r="U27" i="26" s="1"/>
  <c r="V27" i="26" s="1"/>
  <c r="W27" i="26" s="1"/>
  <c r="X27" i="26" s="1"/>
  <c r="Y27" i="26" s="1"/>
  <c r="Z27" i="26" s="1"/>
  <c r="AA27" i="26" s="1"/>
  <c r="AB27" i="26" s="1"/>
  <c r="AC27" i="26" s="1"/>
  <c r="C26" i="26"/>
  <c r="D26" i="26" s="1"/>
  <c r="E26" i="26" s="1"/>
  <c r="F26" i="26" s="1"/>
  <c r="G26" i="26" s="1"/>
  <c r="H26" i="26" s="1"/>
  <c r="I26" i="26" s="1"/>
  <c r="J26" i="26" s="1"/>
  <c r="K26" i="26" s="1"/>
  <c r="L26" i="26" s="1"/>
  <c r="M26" i="26" s="1"/>
  <c r="N26" i="26" s="1"/>
  <c r="O26" i="26" s="1"/>
  <c r="P26" i="26" s="1"/>
  <c r="Q26" i="26" s="1"/>
  <c r="R26" i="26" s="1"/>
  <c r="S26" i="26" s="1"/>
  <c r="T26" i="26" s="1"/>
  <c r="U26" i="26" s="1"/>
  <c r="V26" i="26" s="1"/>
  <c r="W26" i="26" s="1"/>
  <c r="X26" i="26" s="1"/>
  <c r="Y26" i="26" s="1"/>
  <c r="Z26" i="26" s="1"/>
  <c r="AA26" i="26" s="1"/>
  <c r="AB26" i="26" s="1"/>
  <c r="AC26" i="26" s="1"/>
  <c r="C25" i="26"/>
  <c r="D25" i="26" s="1"/>
  <c r="E25" i="26" s="1"/>
  <c r="F25" i="26" s="1"/>
  <c r="G25" i="26" s="1"/>
  <c r="H25" i="26" s="1"/>
  <c r="I25" i="26" s="1"/>
  <c r="J25" i="26" s="1"/>
  <c r="K25" i="26" s="1"/>
  <c r="L25" i="26" s="1"/>
  <c r="M25" i="26" s="1"/>
  <c r="N25" i="26" s="1"/>
  <c r="O25" i="26" s="1"/>
  <c r="P25" i="26" s="1"/>
  <c r="Q25" i="26" s="1"/>
  <c r="R25" i="26" s="1"/>
  <c r="S25" i="26" s="1"/>
  <c r="T25" i="26" s="1"/>
  <c r="U25" i="26" s="1"/>
  <c r="V25" i="26" s="1"/>
  <c r="W25" i="26" s="1"/>
  <c r="X25" i="26" s="1"/>
  <c r="Y25" i="26" s="1"/>
  <c r="Z25" i="26" s="1"/>
  <c r="AA25" i="26" s="1"/>
  <c r="AB25" i="26" s="1"/>
  <c r="AC25" i="26" s="1"/>
  <c r="C24" i="26"/>
  <c r="D24" i="26" s="1"/>
  <c r="E24" i="26" s="1"/>
  <c r="F24" i="26" s="1"/>
  <c r="G24" i="26" s="1"/>
  <c r="H24" i="26" s="1"/>
  <c r="I24" i="26" s="1"/>
  <c r="J24" i="26" s="1"/>
  <c r="K24" i="26" s="1"/>
  <c r="L24" i="26" s="1"/>
  <c r="M24" i="26" s="1"/>
  <c r="N24" i="26" s="1"/>
  <c r="O24" i="26" s="1"/>
  <c r="P24" i="26" s="1"/>
  <c r="Q24" i="26" s="1"/>
  <c r="R24" i="26" s="1"/>
  <c r="S24" i="26" s="1"/>
  <c r="T24" i="26" s="1"/>
  <c r="U24" i="26" s="1"/>
  <c r="V24" i="26" s="1"/>
  <c r="W24" i="26" s="1"/>
  <c r="X24" i="26" s="1"/>
  <c r="Y24" i="26" s="1"/>
  <c r="Z24" i="26" s="1"/>
  <c r="AA24" i="26" s="1"/>
  <c r="AB24" i="26" s="1"/>
  <c r="AC24" i="26" s="1"/>
  <c r="C23" i="26"/>
  <c r="D23" i="26" s="1"/>
  <c r="E23" i="26" s="1"/>
  <c r="F23" i="26" s="1"/>
  <c r="G23" i="26" s="1"/>
  <c r="H23" i="26" s="1"/>
  <c r="I23" i="26" s="1"/>
  <c r="J23" i="26" s="1"/>
  <c r="K23" i="26" s="1"/>
  <c r="L23" i="26" s="1"/>
  <c r="M23" i="26" s="1"/>
  <c r="N23" i="26" s="1"/>
  <c r="O23" i="26" s="1"/>
  <c r="P23" i="26" s="1"/>
  <c r="Q23" i="26" s="1"/>
  <c r="R23" i="26" s="1"/>
  <c r="S23" i="26" s="1"/>
  <c r="T23" i="26" s="1"/>
  <c r="U23" i="26" s="1"/>
  <c r="V23" i="26" s="1"/>
  <c r="W23" i="26" s="1"/>
  <c r="X23" i="26" s="1"/>
  <c r="Y23" i="26" s="1"/>
  <c r="Z23" i="26" s="1"/>
  <c r="AA23" i="26" s="1"/>
  <c r="AB23" i="26" s="1"/>
  <c r="AC23" i="26" s="1"/>
  <c r="C22" i="26"/>
  <c r="D22" i="26" s="1"/>
  <c r="E22" i="26" s="1"/>
  <c r="F22" i="26" s="1"/>
  <c r="G22" i="26" s="1"/>
  <c r="H22" i="26" s="1"/>
  <c r="I22" i="26" s="1"/>
  <c r="J22" i="26" s="1"/>
  <c r="K22" i="26" s="1"/>
  <c r="L22" i="26" s="1"/>
  <c r="M22" i="26" s="1"/>
  <c r="N22" i="26" s="1"/>
  <c r="O22" i="26" s="1"/>
  <c r="P22" i="26" s="1"/>
  <c r="Q22" i="26" s="1"/>
  <c r="R22" i="26" s="1"/>
  <c r="S22" i="26" s="1"/>
  <c r="T22" i="26" s="1"/>
  <c r="U22" i="26" s="1"/>
  <c r="V22" i="26" s="1"/>
  <c r="W22" i="26" s="1"/>
  <c r="X22" i="26" s="1"/>
  <c r="Y22" i="26" s="1"/>
  <c r="Z22" i="26" s="1"/>
  <c r="AA22" i="26" s="1"/>
  <c r="AB22" i="26" s="1"/>
  <c r="AC22" i="26" s="1"/>
  <c r="C21" i="26"/>
  <c r="D21" i="26" s="1"/>
  <c r="E21" i="26" s="1"/>
  <c r="F21" i="26" s="1"/>
  <c r="G21" i="26" s="1"/>
  <c r="H21" i="26" s="1"/>
  <c r="I21" i="26" s="1"/>
  <c r="J21" i="26" s="1"/>
  <c r="K21" i="26" s="1"/>
  <c r="L21" i="26" s="1"/>
  <c r="M21" i="26" s="1"/>
  <c r="N21" i="26" s="1"/>
  <c r="O21" i="26" s="1"/>
  <c r="P21" i="26" s="1"/>
  <c r="Q21" i="26" s="1"/>
  <c r="R21" i="26" s="1"/>
  <c r="S21" i="26" s="1"/>
  <c r="T21" i="26" s="1"/>
  <c r="U21" i="26" s="1"/>
  <c r="V21" i="26" s="1"/>
  <c r="W21" i="26" s="1"/>
  <c r="X21" i="26" s="1"/>
  <c r="Y21" i="26" s="1"/>
  <c r="Z21" i="26" s="1"/>
  <c r="AA21" i="26" s="1"/>
  <c r="AB21" i="26" s="1"/>
  <c r="AC21" i="26" s="1"/>
  <c r="C20" i="26"/>
  <c r="D20" i="26" s="1"/>
  <c r="E20" i="26" s="1"/>
  <c r="F20" i="26" s="1"/>
  <c r="G20" i="26" s="1"/>
  <c r="H20" i="26" s="1"/>
  <c r="I20" i="26" s="1"/>
  <c r="J20" i="26" s="1"/>
  <c r="K20" i="26" s="1"/>
  <c r="L20" i="26" s="1"/>
  <c r="M20" i="26" s="1"/>
  <c r="N20" i="26" s="1"/>
  <c r="O20" i="26" s="1"/>
  <c r="P20" i="26" s="1"/>
  <c r="Q20" i="26" s="1"/>
  <c r="R20" i="26" s="1"/>
  <c r="S20" i="26" s="1"/>
  <c r="T20" i="26" s="1"/>
  <c r="U20" i="26" s="1"/>
  <c r="V20" i="26" s="1"/>
  <c r="W20" i="26" s="1"/>
  <c r="X20" i="26" s="1"/>
  <c r="Y20" i="26" s="1"/>
  <c r="Z20" i="26" s="1"/>
  <c r="AA20" i="26" s="1"/>
  <c r="AB20" i="26" s="1"/>
  <c r="AC20" i="26" s="1"/>
  <c r="C19" i="26"/>
  <c r="D19" i="26" s="1"/>
  <c r="E19" i="26" s="1"/>
  <c r="F19" i="26" s="1"/>
  <c r="G19" i="26" s="1"/>
  <c r="H19" i="26" s="1"/>
  <c r="I19" i="26" s="1"/>
  <c r="J19" i="26" s="1"/>
  <c r="K19" i="26" s="1"/>
  <c r="L19" i="26" s="1"/>
  <c r="M19" i="26" s="1"/>
  <c r="N19" i="26" s="1"/>
  <c r="O19" i="26" s="1"/>
  <c r="P19" i="26" s="1"/>
  <c r="Q19" i="26" s="1"/>
  <c r="R19" i="26" s="1"/>
  <c r="S19" i="26" s="1"/>
  <c r="T19" i="26" s="1"/>
  <c r="U19" i="26" s="1"/>
  <c r="V19" i="26" s="1"/>
  <c r="W19" i="26" s="1"/>
  <c r="X19" i="26" s="1"/>
  <c r="Y19" i="26" s="1"/>
  <c r="Z19" i="26" s="1"/>
  <c r="AA19" i="26" s="1"/>
  <c r="AB19" i="26" s="1"/>
  <c r="AC19" i="26" s="1"/>
  <c r="C18" i="26"/>
  <c r="D18" i="26" s="1"/>
  <c r="E18" i="26" s="1"/>
  <c r="F18" i="26" s="1"/>
  <c r="G18" i="26" s="1"/>
  <c r="H18" i="26" s="1"/>
  <c r="I18" i="26" s="1"/>
  <c r="J18" i="26" s="1"/>
  <c r="K18" i="26" s="1"/>
  <c r="L18" i="26" s="1"/>
  <c r="M18" i="26" s="1"/>
  <c r="N18" i="26" s="1"/>
  <c r="O18" i="26" s="1"/>
  <c r="P18" i="26" s="1"/>
  <c r="Q18" i="26" s="1"/>
  <c r="R18" i="26" s="1"/>
  <c r="S18" i="26" s="1"/>
  <c r="T18" i="26" s="1"/>
  <c r="U18" i="26" s="1"/>
  <c r="V18" i="26" s="1"/>
  <c r="W18" i="26" s="1"/>
  <c r="X18" i="26" s="1"/>
  <c r="Y18" i="26" s="1"/>
  <c r="Z18" i="26" s="1"/>
  <c r="AA18" i="26" s="1"/>
  <c r="AB18" i="26" s="1"/>
  <c r="AC18" i="26" s="1"/>
  <c r="C17" i="26"/>
  <c r="D17" i="26" s="1"/>
  <c r="E17" i="26" s="1"/>
  <c r="F17" i="26" s="1"/>
  <c r="G17" i="26" s="1"/>
  <c r="H17" i="26" s="1"/>
  <c r="I17" i="26" s="1"/>
  <c r="J17" i="26" s="1"/>
  <c r="K17" i="26" s="1"/>
  <c r="L17" i="26" s="1"/>
  <c r="M17" i="26" s="1"/>
  <c r="N17" i="26" s="1"/>
  <c r="O17" i="26" s="1"/>
  <c r="P17" i="26" s="1"/>
  <c r="Q17" i="26" s="1"/>
  <c r="R17" i="26" s="1"/>
  <c r="S17" i="26" s="1"/>
  <c r="T17" i="26" s="1"/>
  <c r="U17" i="26" s="1"/>
  <c r="V17" i="26" s="1"/>
  <c r="W17" i="26" s="1"/>
  <c r="X17" i="26" s="1"/>
  <c r="Y17" i="26" s="1"/>
  <c r="Z17" i="26" s="1"/>
  <c r="AA17" i="26" s="1"/>
  <c r="AB17" i="26" s="1"/>
  <c r="AC17" i="26" s="1"/>
  <c r="C16" i="26"/>
  <c r="D16" i="26" s="1"/>
  <c r="E16" i="26" s="1"/>
  <c r="F16" i="26" s="1"/>
  <c r="G16" i="26" s="1"/>
  <c r="H16" i="26" s="1"/>
  <c r="I16" i="26" s="1"/>
  <c r="J16" i="26" s="1"/>
  <c r="K16" i="26" s="1"/>
  <c r="L16" i="26" s="1"/>
  <c r="M16" i="26" s="1"/>
  <c r="N16" i="26" s="1"/>
  <c r="O16" i="26" s="1"/>
  <c r="P16" i="26" s="1"/>
  <c r="Q16" i="26" s="1"/>
  <c r="R16" i="26" s="1"/>
  <c r="S16" i="26" s="1"/>
  <c r="T16" i="26" s="1"/>
  <c r="U16" i="26" s="1"/>
  <c r="V16" i="26" s="1"/>
  <c r="W16" i="26" s="1"/>
  <c r="X16" i="26" s="1"/>
  <c r="Y16" i="26" s="1"/>
  <c r="Z16" i="26" s="1"/>
  <c r="AA16" i="26" s="1"/>
  <c r="AB16" i="26" s="1"/>
  <c r="AC16" i="26" s="1"/>
  <c r="C15" i="26"/>
  <c r="D15" i="26" s="1"/>
  <c r="E15" i="26" s="1"/>
  <c r="F15" i="26" s="1"/>
  <c r="G15" i="26" s="1"/>
  <c r="H15" i="26" s="1"/>
  <c r="I15" i="26" s="1"/>
  <c r="J15" i="26" s="1"/>
  <c r="K15" i="26" s="1"/>
  <c r="L15" i="26" s="1"/>
  <c r="M15" i="26" s="1"/>
  <c r="N15" i="26" s="1"/>
  <c r="O15" i="26" s="1"/>
  <c r="P15" i="26" s="1"/>
  <c r="Q15" i="26" s="1"/>
  <c r="R15" i="26" s="1"/>
  <c r="S15" i="26" s="1"/>
  <c r="T15" i="26" s="1"/>
  <c r="U15" i="26" s="1"/>
  <c r="V15" i="26" s="1"/>
  <c r="W15" i="26" s="1"/>
  <c r="X15" i="26" s="1"/>
  <c r="Y15" i="26" s="1"/>
  <c r="Z15" i="26" s="1"/>
  <c r="AA15" i="26" s="1"/>
  <c r="AB15" i="26" s="1"/>
  <c r="AC15" i="26" s="1"/>
  <c r="C14" i="26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C13" i="26"/>
  <c r="D13" i="26" s="1"/>
  <c r="E13" i="26" s="1"/>
  <c r="F13" i="26" s="1"/>
  <c r="G13" i="26" s="1"/>
  <c r="H13" i="26" s="1"/>
  <c r="I13" i="26" s="1"/>
  <c r="J13" i="26" s="1"/>
  <c r="K13" i="26" s="1"/>
  <c r="L13" i="26" s="1"/>
  <c r="M13" i="26" s="1"/>
  <c r="N13" i="26" s="1"/>
  <c r="O13" i="26" s="1"/>
  <c r="P13" i="26" s="1"/>
  <c r="Q13" i="26" s="1"/>
  <c r="R13" i="26" s="1"/>
  <c r="S13" i="26" s="1"/>
  <c r="T13" i="26" s="1"/>
  <c r="U13" i="26" s="1"/>
  <c r="V13" i="26" s="1"/>
  <c r="W13" i="26" s="1"/>
  <c r="X13" i="26" s="1"/>
  <c r="Y13" i="26" s="1"/>
  <c r="Z13" i="26" s="1"/>
  <c r="AA13" i="26" s="1"/>
  <c r="AB13" i="26" s="1"/>
  <c r="AC13" i="26" s="1"/>
  <c r="C12" i="26"/>
  <c r="D12" i="26" s="1"/>
  <c r="E12" i="26" s="1"/>
  <c r="F12" i="26" s="1"/>
  <c r="G12" i="26" s="1"/>
  <c r="H12" i="26" s="1"/>
  <c r="I12" i="26" s="1"/>
  <c r="J12" i="26" s="1"/>
  <c r="K12" i="26" s="1"/>
  <c r="L12" i="26" s="1"/>
  <c r="M12" i="26" s="1"/>
  <c r="N12" i="26" s="1"/>
  <c r="O12" i="26" s="1"/>
  <c r="P12" i="26" s="1"/>
  <c r="Q12" i="26" s="1"/>
  <c r="R12" i="26" s="1"/>
  <c r="S12" i="26" s="1"/>
  <c r="T12" i="26" s="1"/>
  <c r="U12" i="26" s="1"/>
  <c r="V12" i="26" s="1"/>
  <c r="W12" i="26" s="1"/>
  <c r="X12" i="26" s="1"/>
  <c r="Y12" i="26" s="1"/>
  <c r="Z12" i="26" s="1"/>
  <c r="AA12" i="26" s="1"/>
  <c r="AB12" i="26" s="1"/>
  <c r="AC12" i="26" s="1"/>
  <c r="C11" i="26"/>
  <c r="D11" i="26" s="1"/>
  <c r="E11" i="26" s="1"/>
  <c r="F11" i="26" s="1"/>
  <c r="G11" i="26" s="1"/>
  <c r="H11" i="26" s="1"/>
  <c r="I11" i="26" s="1"/>
  <c r="J11" i="26" s="1"/>
  <c r="K11" i="26" s="1"/>
  <c r="L11" i="26" s="1"/>
  <c r="M11" i="26" s="1"/>
  <c r="N11" i="26" s="1"/>
  <c r="O11" i="26" s="1"/>
  <c r="P11" i="26" s="1"/>
  <c r="Q11" i="26" s="1"/>
  <c r="R11" i="26" s="1"/>
  <c r="S11" i="26" s="1"/>
  <c r="T11" i="26" s="1"/>
  <c r="U11" i="26" s="1"/>
  <c r="V11" i="26" s="1"/>
  <c r="W11" i="26" s="1"/>
  <c r="X11" i="26" s="1"/>
  <c r="Y11" i="26" s="1"/>
  <c r="Z11" i="26" s="1"/>
  <c r="AA11" i="26" s="1"/>
  <c r="AB11" i="26" s="1"/>
  <c r="AC11" i="26" s="1"/>
  <c r="C10" i="26"/>
  <c r="D10" i="26" s="1"/>
  <c r="E10" i="26" s="1"/>
  <c r="F10" i="26" s="1"/>
  <c r="G10" i="26" s="1"/>
  <c r="H10" i="26" s="1"/>
  <c r="I10" i="26" s="1"/>
  <c r="J10" i="26" s="1"/>
  <c r="K10" i="26" s="1"/>
  <c r="L10" i="26" s="1"/>
  <c r="M10" i="26" s="1"/>
  <c r="N10" i="26" s="1"/>
  <c r="O10" i="26" s="1"/>
  <c r="P10" i="26" s="1"/>
  <c r="Q10" i="26" s="1"/>
  <c r="R10" i="26" s="1"/>
  <c r="S10" i="26" s="1"/>
  <c r="T10" i="26" s="1"/>
  <c r="U10" i="26" s="1"/>
  <c r="V10" i="26" s="1"/>
  <c r="W10" i="26" s="1"/>
  <c r="X10" i="26" s="1"/>
  <c r="Y10" i="26" s="1"/>
  <c r="Z10" i="26" s="1"/>
  <c r="AA10" i="26" s="1"/>
  <c r="AB10" i="26" s="1"/>
  <c r="AC10" i="26" s="1"/>
  <c r="C9" i="26"/>
  <c r="D9" i="26" s="1"/>
  <c r="E9" i="26" s="1"/>
  <c r="F9" i="26" s="1"/>
  <c r="G9" i="26" s="1"/>
  <c r="H9" i="26" s="1"/>
  <c r="I9" i="26" s="1"/>
  <c r="J9" i="26" s="1"/>
  <c r="K9" i="26" s="1"/>
  <c r="L9" i="26" s="1"/>
  <c r="M9" i="26" s="1"/>
  <c r="N9" i="26" s="1"/>
  <c r="O9" i="26" s="1"/>
  <c r="P9" i="26" s="1"/>
  <c r="Q9" i="26" s="1"/>
  <c r="R9" i="26" s="1"/>
  <c r="S9" i="26" s="1"/>
  <c r="T9" i="26" s="1"/>
  <c r="U9" i="26" s="1"/>
  <c r="V9" i="26" s="1"/>
  <c r="W9" i="26" s="1"/>
  <c r="X9" i="26" s="1"/>
  <c r="Y9" i="26" s="1"/>
  <c r="Z9" i="26" s="1"/>
  <c r="AA9" i="26" s="1"/>
  <c r="AB9" i="26" s="1"/>
  <c r="AC9" i="26" s="1"/>
  <c r="C8" i="26"/>
  <c r="D8" i="26" s="1"/>
  <c r="E8" i="26" s="1"/>
  <c r="F8" i="26" s="1"/>
  <c r="G8" i="26" s="1"/>
  <c r="H8" i="26" s="1"/>
  <c r="I8" i="26" s="1"/>
  <c r="J8" i="26" s="1"/>
  <c r="K8" i="26" s="1"/>
  <c r="L8" i="26" s="1"/>
  <c r="M8" i="26" s="1"/>
  <c r="N8" i="26" s="1"/>
  <c r="O8" i="26" s="1"/>
  <c r="P8" i="26" s="1"/>
  <c r="Q8" i="26" s="1"/>
  <c r="R8" i="26" s="1"/>
  <c r="S8" i="26" s="1"/>
  <c r="T8" i="26" s="1"/>
  <c r="U8" i="26" s="1"/>
  <c r="V8" i="26" s="1"/>
  <c r="W8" i="26" s="1"/>
  <c r="X8" i="26" s="1"/>
  <c r="Y8" i="26" s="1"/>
  <c r="Z8" i="26" s="1"/>
  <c r="AA8" i="26" s="1"/>
  <c r="AB8" i="26" s="1"/>
  <c r="AC8" i="26" s="1"/>
  <c r="C7" i="26"/>
  <c r="D7" i="26" s="1"/>
  <c r="E7" i="26" s="1"/>
  <c r="F7" i="26" s="1"/>
  <c r="G7" i="26" s="1"/>
  <c r="H7" i="26" s="1"/>
  <c r="I7" i="26" s="1"/>
  <c r="J7" i="26" s="1"/>
  <c r="K7" i="26" s="1"/>
  <c r="L7" i="26" s="1"/>
  <c r="M7" i="26" s="1"/>
  <c r="N7" i="26" s="1"/>
  <c r="O7" i="26" s="1"/>
  <c r="P7" i="26" s="1"/>
  <c r="Q7" i="26" s="1"/>
  <c r="R7" i="26" s="1"/>
  <c r="S7" i="26" s="1"/>
  <c r="T7" i="26" s="1"/>
  <c r="U7" i="26" s="1"/>
  <c r="V7" i="26" s="1"/>
  <c r="W7" i="26" s="1"/>
  <c r="X7" i="26" s="1"/>
  <c r="Y7" i="26" s="1"/>
  <c r="Z7" i="26" s="1"/>
  <c r="AA7" i="26" s="1"/>
  <c r="AB7" i="26" s="1"/>
  <c r="AC7" i="26" s="1"/>
  <c r="C6" i="26"/>
  <c r="D6" i="26" s="1"/>
  <c r="E6" i="26" s="1"/>
  <c r="F6" i="26" s="1"/>
  <c r="G6" i="26" s="1"/>
  <c r="H6" i="26" s="1"/>
  <c r="I6" i="26" s="1"/>
  <c r="J6" i="26" s="1"/>
  <c r="K6" i="26" s="1"/>
  <c r="L6" i="26" s="1"/>
  <c r="M6" i="26" s="1"/>
  <c r="N6" i="26" s="1"/>
  <c r="O6" i="26" s="1"/>
  <c r="P6" i="26" s="1"/>
  <c r="Q6" i="26" s="1"/>
  <c r="R6" i="26" s="1"/>
  <c r="S6" i="26" s="1"/>
  <c r="T6" i="26" s="1"/>
  <c r="U6" i="26" s="1"/>
  <c r="V6" i="26" s="1"/>
  <c r="W6" i="26" s="1"/>
  <c r="X6" i="26" s="1"/>
  <c r="Y6" i="26" s="1"/>
  <c r="Z6" i="26" s="1"/>
  <c r="AA6" i="26" s="1"/>
  <c r="AB6" i="26" s="1"/>
  <c r="AC6" i="26" s="1"/>
  <c r="C5" i="26"/>
  <c r="D5" i="26" s="1"/>
  <c r="E5" i="26" s="1"/>
  <c r="F5" i="26" s="1"/>
  <c r="G5" i="26" s="1"/>
  <c r="H5" i="26" s="1"/>
  <c r="I5" i="26" s="1"/>
  <c r="J5" i="26" s="1"/>
  <c r="K5" i="26" s="1"/>
  <c r="L5" i="26" s="1"/>
  <c r="M5" i="26" s="1"/>
  <c r="N5" i="26" s="1"/>
  <c r="O5" i="26" s="1"/>
  <c r="P5" i="26" s="1"/>
  <c r="Q5" i="26" s="1"/>
  <c r="R5" i="26" s="1"/>
  <c r="S5" i="26" s="1"/>
  <c r="T5" i="26" s="1"/>
  <c r="U5" i="26" s="1"/>
  <c r="V5" i="26" s="1"/>
  <c r="W5" i="26" s="1"/>
  <c r="X5" i="26" s="1"/>
  <c r="Y5" i="26" s="1"/>
  <c r="Z5" i="26" s="1"/>
  <c r="AA5" i="26" s="1"/>
  <c r="AB5" i="26" s="1"/>
  <c r="AC5" i="26" s="1"/>
  <c r="C4" i="26"/>
  <c r="D4" i="26" s="1"/>
  <c r="E4" i="26" s="1"/>
  <c r="F4" i="26" s="1"/>
  <c r="G4" i="26" s="1"/>
  <c r="H4" i="26" s="1"/>
  <c r="I4" i="26" s="1"/>
  <c r="J4" i="26" s="1"/>
  <c r="K4" i="26" s="1"/>
  <c r="L4" i="26" s="1"/>
  <c r="M4" i="26" s="1"/>
  <c r="N4" i="26" s="1"/>
  <c r="O4" i="26" s="1"/>
  <c r="P4" i="26" s="1"/>
  <c r="Q4" i="26" s="1"/>
  <c r="R4" i="26" s="1"/>
  <c r="S4" i="26" s="1"/>
  <c r="T4" i="26" s="1"/>
  <c r="U4" i="26" s="1"/>
  <c r="V4" i="26" s="1"/>
  <c r="W4" i="26" s="1"/>
  <c r="X4" i="26" s="1"/>
  <c r="Y4" i="26" s="1"/>
  <c r="Z4" i="26" s="1"/>
  <c r="AA4" i="26" s="1"/>
  <c r="AB4" i="26" s="1"/>
  <c r="AC4" i="26" s="1"/>
  <c r="D3" i="26"/>
  <c r="E3" i="26" s="1"/>
  <c r="F3" i="26" s="1"/>
  <c r="G3" i="26" s="1"/>
  <c r="H3" i="26" s="1"/>
  <c r="I3" i="26" s="1"/>
  <c r="J3" i="26" s="1"/>
  <c r="K3" i="26" s="1"/>
  <c r="L3" i="26" s="1"/>
  <c r="M3" i="26" s="1"/>
  <c r="N3" i="26" s="1"/>
  <c r="O3" i="26" s="1"/>
  <c r="P3" i="26" s="1"/>
  <c r="Q3" i="26" s="1"/>
  <c r="R3" i="26" s="1"/>
  <c r="S3" i="26" s="1"/>
  <c r="T3" i="26" s="1"/>
  <c r="U3" i="26" s="1"/>
  <c r="V3" i="26" s="1"/>
  <c r="W3" i="26" s="1"/>
  <c r="X3" i="26" s="1"/>
  <c r="Y3" i="26" s="1"/>
  <c r="Z3" i="26" s="1"/>
  <c r="AA3" i="26" s="1"/>
  <c r="AB3" i="26" s="1"/>
  <c r="AC3" i="26" s="1"/>
  <c r="C3" i="26"/>
  <c r="L2" i="26"/>
  <c r="M2" i="26" s="1"/>
  <c r="N2" i="26" s="1"/>
  <c r="O2" i="26" s="1"/>
  <c r="P2" i="26" s="1"/>
  <c r="Q2" i="26" s="1"/>
  <c r="R2" i="26" s="1"/>
  <c r="S2" i="26" s="1"/>
  <c r="T2" i="26" s="1"/>
  <c r="U2" i="26" s="1"/>
  <c r="V2" i="26" s="1"/>
  <c r="W2" i="26" s="1"/>
  <c r="X2" i="26" s="1"/>
  <c r="Y2" i="26" s="1"/>
  <c r="Z2" i="26" s="1"/>
  <c r="AA2" i="26" s="1"/>
  <c r="AB2" i="26" s="1"/>
  <c r="AC2" i="26" s="1"/>
  <c r="C2" i="26"/>
  <c r="D2" i="26" s="1"/>
  <c r="E2" i="26" s="1"/>
  <c r="F2" i="26" s="1"/>
  <c r="G2" i="26" s="1"/>
  <c r="H2" i="26" s="1"/>
  <c r="I2" i="26" s="1"/>
  <c r="J2" i="26" s="1"/>
  <c r="K2" i="26" s="1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</calcChain>
</file>

<file path=xl/sharedStrings.xml><?xml version="1.0" encoding="utf-8"?>
<sst xmlns="http://schemas.openxmlformats.org/spreadsheetml/2006/main" count="375" uniqueCount="35">
  <si>
    <t>Anhui</t>
  </si>
  <si>
    <t>MedTech</t>
  </si>
  <si>
    <t>LowTech</t>
  </si>
  <si>
    <t>HighTech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</si>
  <si>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</si>
  <si>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</si>
  <si>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</si>
  <si>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</si>
  <si>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</si>
  <si>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</si>
  <si>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</si>
  <si>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</si>
  <si>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</si>
  <si>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</si>
  <si>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</si>
  <si>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</si>
  <si>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</si>
  <si>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</si>
  <si>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</si>
  <si>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</si>
  <si>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</si>
  <si>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</si>
  <si>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</si>
  <si>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</si>
  <si>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</si>
  <si>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</si>
  <si>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</si>
  <si>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</si>
  <si>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</si>
  <si>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</si>
  <si>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</si>
  <si>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</si>
  <si>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Inner Mongolia</t>
  </si>
  <si>
    <t>Tibet</t>
  </si>
  <si>
    <t>IT electricity consumption MWh 2023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</si>
</sst>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3" fillId="0" borderId="0" xfId="0" applyFont="1" applyAlignment="1"/>
    <xf numFmtId="176" fontId="3" fillId="0" borderId="0" xfId="0" applyNumberFormat="1" applyFont="1" applyAlignment="1"/>
    <xf numFmtId="2" fontId="3" fillId="0" borderId="0" xfId="0" applyNumberFormat="1" applyFont="1" applyAlignment="1"/>
    <xf numFmtId="176" fontId="0" fillId="0" borderId="0" xfId="0" applyNumberFormat="1">
      <alignment vertical="center"/>
    </xf>
    <xf numFmtId="2" fontId="0" fillId="0" borderId="0" xfId="0" applyNumberFormat="1" applyAlignment="1"/>
    <xf numFmtId="9" fontId="0" fillId="0" borderId="0" xfId="1" applyFont="1" applyAlignment="1">
      <alignment vertical="center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1692729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80A8E80-49D7-42A6-8671-AE0D135BD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2729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1692729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4429713-14A7-4520-9F78-E2D9B4EC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2204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1692729</xdr:colOff>
      <xdr:row>1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F4CC59-C6A0-4156-9A63-8AFB32A42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5029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aper\data%20center%20emission\data\&#27719;&#24635;.xlsx" TargetMode="External"/><Relationship Id="rId1" Type="http://schemas.openxmlformats.org/officeDocument/2006/relationships/externalLinkPath" Target="&#27719;&#246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PUE"/>
      <sheetName val="PUE_P"/>
      <sheetName val="ef"/>
      <sheetName val="各省单位发电碳排放（kg kwh）"/>
      <sheetName val="各省单位输入电碳排放（kg kwh）"/>
      <sheetName val="各省单位用电碳排放（kg kwh）"/>
      <sheetName val="各省每年数据中心耗电量"/>
      <sheetName val="各省每年数据中心排放_发电"/>
      <sheetName val="各省每年数据中心排放_用电"/>
      <sheetName val="Sheet2"/>
      <sheetName val="各省每年发电量"/>
      <sheetName val="各省每年电力出口量"/>
      <sheetName val="各省每年电力进口量"/>
      <sheetName val="各省每年发电碳排放"/>
      <sheetName val="各省每年碳排放出口量"/>
      <sheetName val="各省每年碳排放进口量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2041"/>
      <sheetName val="2042"/>
      <sheetName val="2043"/>
      <sheetName val="2044"/>
      <sheetName val="2045"/>
      <sheetName val="2046"/>
      <sheetName val="2047"/>
      <sheetName val="2048"/>
      <sheetName val="2049"/>
      <sheetName val="2050"/>
    </sheetNames>
    <sheetDataSet>
      <sheetData sheetId="0" refreshError="1"/>
      <sheetData sheetId="1">
        <row r="2">
          <cell r="E2">
            <v>-0.33570532413225329</v>
          </cell>
          <cell r="G2">
            <v>-0.42299182651322503</v>
          </cell>
          <cell r="I2">
            <v>-0.54601524198940543</v>
          </cell>
        </row>
        <row r="3">
          <cell r="E3">
            <v>-0.33699715186563106</v>
          </cell>
          <cell r="G3">
            <v>-0.4242836542466028</v>
          </cell>
          <cell r="I3">
            <v>-0.5473070697227832</v>
          </cell>
        </row>
        <row r="4">
          <cell r="E4">
            <v>-0.3346985944238442</v>
          </cell>
          <cell r="G4">
            <v>-0.421985096804816</v>
          </cell>
          <cell r="I4">
            <v>-0.54500851228099634</v>
          </cell>
        </row>
        <row r="5">
          <cell r="E5">
            <v>-0.34495552706515281</v>
          </cell>
          <cell r="G5">
            <v>-0.4322420294461245</v>
          </cell>
          <cell r="I5">
            <v>-0.5552654449223049</v>
          </cell>
        </row>
        <row r="6">
          <cell r="E6">
            <v>-0.33333333333333354</v>
          </cell>
          <cell r="G6">
            <v>-0.42061983571430528</v>
          </cell>
          <cell r="I6">
            <v>-0.54364325119048562</v>
          </cell>
        </row>
        <row r="7">
          <cell r="E7">
            <v>-0.3413538407115444</v>
          </cell>
          <cell r="G7">
            <v>-0.4286403430925162</v>
          </cell>
          <cell r="I7">
            <v>-0.55166375856869654</v>
          </cell>
        </row>
        <row r="8">
          <cell r="E8">
            <v>-0.33695758567043099</v>
          </cell>
          <cell r="G8">
            <v>-0.42424408805140279</v>
          </cell>
          <cell r="I8">
            <v>-0.54726750352758313</v>
          </cell>
        </row>
        <row r="9">
          <cell r="E9">
            <v>-0.33905366136579734</v>
          </cell>
          <cell r="G9">
            <v>-0.42634016374676909</v>
          </cell>
          <cell r="I9">
            <v>-0.54936357922294954</v>
          </cell>
        </row>
        <row r="10">
          <cell r="E10">
            <v>-0.33525528848351499</v>
          </cell>
          <cell r="G10">
            <v>-0.42254179086448668</v>
          </cell>
          <cell r="I10">
            <v>-0.54556520634066707</v>
          </cell>
        </row>
        <row r="11">
          <cell r="E11">
            <v>-0.32659450764331072</v>
          </cell>
          <cell r="G11">
            <v>-0.41388101002428246</v>
          </cell>
          <cell r="I11">
            <v>-0.5369044255004628</v>
          </cell>
        </row>
        <row r="12">
          <cell r="E12">
            <v>-0.29282547724387242</v>
          </cell>
          <cell r="G12">
            <v>-0.38011197962484417</v>
          </cell>
          <cell r="I12">
            <v>-0.50313539510102456</v>
          </cell>
        </row>
        <row r="13">
          <cell r="E13">
            <v>-0.33499160642183062</v>
          </cell>
          <cell r="G13">
            <v>-0.42227810880280237</v>
          </cell>
          <cell r="I13">
            <v>-0.54530152427898271</v>
          </cell>
        </row>
        <row r="14">
          <cell r="E14">
            <v>-0.33462609184242881</v>
          </cell>
          <cell r="G14">
            <v>-0.42191259422340055</v>
          </cell>
          <cell r="I14">
            <v>-0.54493600969958089</v>
          </cell>
        </row>
        <row r="15">
          <cell r="E15">
            <v>-0.3360787975409803</v>
          </cell>
          <cell r="G15">
            <v>-0.42336529992195193</v>
          </cell>
          <cell r="I15">
            <v>-0.54638871539813239</v>
          </cell>
        </row>
        <row r="16">
          <cell r="E16">
            <v>-0.3365455527346119</v>
          </cell>
          <cell r="G16">
            <v>-0.42383205511558358</v>
          </cell>
          <cell r="I16">
            <v>-0.54685547059176398</v>
          </cell>
        </row>
        <row r="17">
          <cell r="E17">
            <v>-0.33489882926055642</v>
          </cell>
          <cell r="G17">
            <v>-0.42218533164152816</v>
          </cell>
          <cell r="I17">
            <v>-0.5452087471177085</v>
          </cell>
        </row>
        <row r="18">
          <cell r="E18">
            <v>-0.33780014040869571</v>
          </cell>
          <cell r="G18">
            <v>-0.4250866427896674</v>
          </cell>
          <cell r="I18">
            <v>-0.5481100582658478</v>
          </cell>
        </row>
        <row r="19">
          <cell r="E19">
            <v>-0.32371734333920571</v>
          </cell>
          <cell r="G19">
            <v>-0.4110038457201774</v>
          </cell>
          <cell r="I19">
            <v>-0.53402726119635779</v>
          </cell>
        </row>
        <row r="20">
          <cell r="E20">
            <v>-0.33441230658678334</v>
          </cell>
          <cell r="G20">
            <v>-0.42169880896775508</v>
          </cell>
          <cell r="I20">
            <v>-0.54472222444393548</v>
          </cell>
        </row>
        <row r="21">
          <cell r="E21">
            <v>-0.33504024885656447</v>
          </cell>
          <cell r="G21">
            <v>-0.42232675123753621</v>
          </cell>
          <cell r="I21">
            <v>-0.54535016671371672</v>
          </cell>
        </row>
        <row r="22">
          <cell r="E22">
            <v>-0.19385688578886773</v>
          </cell>
          <cell r="G22">
            <v>-0.28114338816983947</v>
          </cell>
          <cell r="I22">
            <v>-0.40416680364601987</v>
          </cell>
        </row>
        <row r="23">
          <cell r="E23">
            <v>-0.27958713568174237</v>
          </cell>
          <cell r="G23">
            <v>-0.36687363806271411</v>
          </cell>
          <cell r="I23">
            <v>-0.48989705353889451</v>
          </cell>
        </row>
        <row r="24">
          <cell r="E24">
            <v>-0.32460848278140836</v>
          </cell>
          <cell r="G24">
            <v>-0.4118949851623801</v>
          </cell>
          <cell r="I24">
            <v>-0.53491840063856055</v>
          </cell>
        </row>
        <row r="25">
          <cell r="E25">
            <v>-0.33365183327613279</v>
          </cell>
          <cell r="G25">
            <v>-0.42093833565710453</v>
          </cell>
          <cell r="I25">
            <v>-0.54396175113328493</v>
          </cell>
        </row>
        <row r="26">
          <cell r="E26">
            <v>-0.3415176449359239</v>
          </cell>
          <cell r="G26">
            <v>-0.42880414731689559</v>
          </cell>
          <cell r="I26">
            <v>-0.55182756279307599</v>
          </cell>
        </row>
        <row r="27">
          <cell r="E27">
            <v>-0.29852742471808491</v>
          </cell>
          <cell r="G27">
            <v>-0.3858139270990566</v>
          </cell>
          <cell r="I27">
            <v>-0.50883734257523694</v>
          </cell>
        </row>
        <row r="28">
          <cell r="E28">
            <v>-0.33333333333333337</v>
          </cell>
          <cell r="G28">
            <v>-0.42061983571430506</v>
          </cell>
          <cell r="I28">
            <v>-0.5436432511904854</v>
          </cell>
        </row>
        <row r="29">
          <cell r="E29">
            <v>-0.33333333333333343</v>
          </cell>
          <cell r="G29">
            <v>-0.42061983571430522</v>
          </cell>
          <cell r="I29">
            <v>-0.54364325119048562</v>
          </cell>
        </row>
        <row r="30">
          <cell r="E30">
            <v>-0.33333333333333343</v>
          </cell>
          <cell r="G30">
            <v>-0.42061983571430522</v>
          </cell>
          <cell r="I30">
            <v>-0.54364325119048562</v>
          </cell>
        </row>
        <row r="31">
          <cell r="E31">
            <v>-0.33429529121595292</v>
          </cell>
          <cell r="G31">
            <v>-0.4215817935969246</v>
          </cell>
          <cell r="I31">
            <v>-0.54460520907310506</v>
          </cell>
        </row>
        <row r="32">
          <cell r="E32">
            <v>-0.33333333333333343</v>
          </cell>
          <cell r="G32">
            <v>-0.42061983571430522</v>
          </cell>
          <cell r="I32">
            <v>-0.54364325119048562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66">
          <cell r="C66">
            <v>0.90020980273408646</v>
          </cell>
        </row>
      </sheetData>
      <sheetData sheetId="7">
        <row r="2">
          <cell r="C2">
            <v>660314.00807423994</v>
          </cell>
        </row>
      </sheetData>
      <sheetData sheetId="8" refreshError="1"/>
      <sheetData sheetId="9">
        <row r="32">
          <cell r="B32">
            <v>4086568.8485626578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0923-6A3E-4E40-8A33-214A47846FFF}">
  <dimension ref="A1:AD64"/>
  <sheetViews>
    <sheetView zoomScaleNormal="100" workbookViewId="0">
      <selection activeCell="A2" sqref="A2:A32"/>
    </sheetView>
  </sheetViews>
  <sheetFormatPr defaultRowHeight="13.5" x14ac:dyDescent="0.15"/>
  <cols>
    <col min="2" max="2" width="23" customWidth="1"/>
  </cols>
  <sheetData>
    <row r="1" spans="1:30" s="4" customFormat="1" x14ac:dyDescent="0.15">
      <c r="A1" s="3"/>
      <c r="B1" s="3" t="s">
        <v>34</v>
      </c>
      <c r="C1" s="3">
        <v>2023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</row>
    <row r="2" spans="1:30" x14ac:dyDescent="0.15">
      <c r="A2" s="2" t="s">
        <v>4</v>
      </c>
      <c r="B2" s="2">
        <v>11890329.720328802</v>
      </c>
      <c r="C2" s="10">
        <v>1</v>
      </c>
      <c r="D2" s="10">
        <v>1.147308</v>
      </c>
      <c r="E2" s="10">
        <v>1.3120614287999999</v>
      </c>
      <c r="F2" s="10">
        <v>1.4956083261976896</v>
      </c>
      <c r="G2" s="10">
        <v>1.6992862504925959</v>
      </c>
      <c r="H2" s="10">
        <v>1.9244008958128531</v>
      </c>
      <c r="I2" s="10">
        <v>2.1722021503648827</v>
      </c>
      <c r="J2" s="10">
        <v>2.443857751289515</v>
      </c>
      <c r="K2" s="10">
        <v>2.7404247771240007</v>
      </c>
      <c r="L2" s="10">
        <v>3.0628193096039769</v>
      </c>
      <c r="M2" s="10">
        <v>3.4117846904630156</v>
      </c>
      <c r="N2" s="10">
        <v>3.787858893323373</v>
      </c>
      <c r="O2" s="10">
        <v>4.1913416226401781</v>
      </c>
      <c r="P2" s="10">
        <v>4.622261837547061</v>
      </c>
      <c r="Q2" s="10">
        <v>5.0803464746953253</v>
      </c>
      <c r="R2" s="10">
        <v>5.5649912069953604</v>
      </c>
      <c r="S2" s="10">
        <v>6.0752341207823513</v>
      </c>
      <c r="T2" s="10">
        <v>6.6097332187287821</v>
      </c>
      <c r="U2" s="10">
        <v>7.1667486565374947</v>
      </c>
      <c r="V2" s="10">
        <v>7.7441305953027824</v>
      </c>
      <c r="W2" s="10">
        <v>8.3393134963353734</v>
      </c>
      <c r="X2" s="10">
        <v>8.9493175999653136</v>
      </c>
      <c r="Y2" s="10">
        <v>9.5707582141069043</v>
      </c>
      <c r="Z2" s="10">
        <v>10.19986329303658</v>
      </c>
      <c r="AA2" s="10">
        <v>10.832499613923883</v>
      </c>
      <c r="AB2" s="10">
        <v>11.464207661409468</v>
      </c>
      <c r="AC2" s="10">
        <v>12.090245113383716</v>
      </c>
      <c r="AD2" s="10">
        <v>12.705638589654946</v>
      </c>
    </row>
    <row r="3" spans="1:30" x14ac:dyDescent="0.15">
      <c r="A3" s="2" t="s">
        <v>28</v>
      </c>
      <c r="B3" s="2">
        <v>1469992.0839551997</v>
      </c>
      <c r="C3" s="10">
        <v>1</v>
      </c>
      <c r="D3" s="10">
        <v>1.147308</v>
      </c>
      <c r="E3" s="10">
        <v>1.3120614287999999</v>
      </c>
      <c r="F3" s="10">
        <v>1.4956083261976896</v>
      </c>
      <c r="G3" s="10">
        <v>1.6992862504925959</v>
      </c>
      <c r="H3" s="10">
        <v>1.9244008958128531</v>
      </c>
      <c r="I3" s="10">
        <v>2.1722021503648827</v>
      </c>
      <c r="J3" s="10">
        <v>2.443857751289515</v>
      </c>
      <c r="K3" s="10">
        <v>2.7404247771240007</v>
      </c>
      <c r="L3" s="10">
        <v>3.0628193096039769</v>
      </c>
      <c r="M3" s="10">
        <v>3.4117846904630156</v>
      </c>
      <c r="N3" s="10">
        <v>3.787858893323373</v>
      </c>
      <c r="O3" s="10">
        <v>4.1913416226401781</v>
      </c>
      <c r="P3" s="10">
        <v>4.622261837547061</v>
      </c>
      <c r="Q3" s="10">
        <v>5.0803464746953253</v>
      </c>
      <c r="R3" s="10">
        <v>5.5649912069953604</v>
      </c>
      <c r="S3" s="10">
        <v>6.0752341207823513</v>
      </c>
      <c r="T3" s="10">
        <v>6.6097332187287821</v>
      </c>
      <c r="U3" s="10">
        <v>7.1667486565374947</v>
      </c>
      <c r="V3" s="10">
        <v>7.7441305953027824</v>
      </c>
      <c r="W3" s="10">
        <v>8.3393134963353734</v>
      </c>
      <c r="X3" s="10">
        <v>8.9493175999653136</v>
      </c>
      <c r="Y3" s="10">
        <v>9.5707582141069043</v>
      </c>
      <c r="Z3" s="10">
        <v>10.19986329303658</v>
      </c>
      <c r="AA3" s="10">
        <v>10.832499613923883</v>
      </c>
      <c r="AB3" s="10">
        <v>11.464207661409468</v>
      </c>
      <c r="AC3" s="10">
        <v>12.090245113383716</v>
      </c>
      <c r="AD3" s="10">
        <v>12.705638589654946</v>
      </c>
    </row>
    <row r="4" spans="1:30" x14ac:dyDescent="0.15">
      <c r="A4" s="2" t="s">
        <v>12</v>
      </c>
      <c r="B4" s="2">
        <v>6715804.6987200007</v>
      </c>
      <c r="C4" s="10">
        <v>1</v>
      </c>
      <c r="D4" s="10">
        <v>1.147308</v>
      </c>
      <c r="E4" s="10">
        <v>1.3120614287999999</v>
      </c>
      <c r="F4" s="10">
        <v>1.4956083261976896</v>
      </c>
      <c r="G4" s="10">
        <v>1.6992862504925959</v>
      </c>
      <c r="H4" s="10">
        <v>1.9244008958128531</v>
      </c>
      <c r="I4" s="10">
        <v>2.1722021503648827</v>
      </c>
      <c r="J4" s="10">
        <v>2.443857751289515</v>
      </c>
      <c r="K4" s="10">
        <v>2.7404247771240007</v>
      </c>
      <c r="L4" s="10">
        <v>3.0628193096039769</v>
      </c>
      <c r="M4" s="10">
        <v>3.4117846904630156</v>
      </c>
      <c r="N4" s="10">
        <v>3.787858893323373</v>
      </c>
      <c r="O4" s="10">
        <v>4.1913416226401781</v>
      </c>
      <c r="P4" s="10">
        <v>4.622261837547061</v>
      </c>
      <c r="Q4" s="10">
        <v>5.0803464746953253</v>
      </c>
      <c r="R4" s="10">
        <v>5.5649912069953604</v>
      </c>
      <c r="S4" s="10">
        <v>6.0752341207823513</v>
      </c>
      <c r="T4" s="10">
        <v>6.6097332187287821</v>
      </c>
      <c r="U4" s="10">
        <v>7.1667486565374947</v>
      </c>
      <c r="V4" s="10">
        <v>7.7441305953027824</v>
      </c>
      <c r="W4" s="10">
        <v>8.3393134963353734</v>
      </c>
      <c r="X4" s="10">
        <v>8.9493175999653136</v>
      </c>
      <c r="Y4" s="10">
        <v>9.5707582141069043</v>
      </c>
      <c r="Z4" s="10">
        <v>10.19986329303658</v>
      </c>
      <c r="AA4" s="10">
        <v>10.832499613923883</v>
      </c>
      <c r="AB4" s="10">
        <v>11.464207661409468</v>
      </c>
      <c r="AC4" s="10">
        <v>12.090245113383716</v>
      </c>
      <c r="AD4" s="10">
        <v>12.705638589654946</v>
      </c>
    </row>
    <row r="5" spans="1:30" x14ac:dyDescent="0.15">
      <c r="A5" s="2" t="s">
        <v>26</v>
      </c>
      <c r="B5" s="2">
        <v>240258.87252431997</v>
      </c>
      <c r="C5" s="10">
        <v>1</v>
      </c>
      <c r="D5" s="10">
        <v>1.147308</v>
      </c>
      <c r="E5" s="10">
        <v>1.3120614287999999</v>
      </c>
      <c r="F5" s="10">
        <v>1.4956083261976896</v>
      </c>
      <c r="G5" s="10">
        <v>1.6992862504925959</v>
      </c>
      <c r="H5" s="10">
        <v>1.9244008958128531</v>
      </c>
      <c r="I5" s="10">
        <v>2.1722021503648827</v>
      </c>
      <c r="J5" s="10">
        <v>2.443857751289515</v>
      </c>
      <c r="K5" s="10">
        <v>2.7404247771240007</v>
      </c>
      <c r="L5" s="10">
        <v>3.0628193096039769</v>
      </c>
      <c r="M5" s="10">
        <v>3.4117846904630156</v>
      </c>
      <c r="N5" s="10">
        <v>3.787858893323373</v>
      </c>
      <c r="O5" s="10">
        <v>4.1913416226401781</v>
      </c>
      <c r="P5" s="10">
        <v>4.622261837547061</v>
      </c>
      <c r="Q5" s="10">
        <v>5.0803464746953253</v>
      </c>
      <c r="R5" s="10">
        <v>5.5649912069953604</v>
      </c>
      <c r="S5" s="10">
        <v>6.0752341207823513</v>
      </c>
      <c r="T5" s="10">
        <v>6.6097332187287821</v>
      </c>
      <c r="U5" s="10">
        <v>7.1667486565374947</v>
      </c>
      <c r="V5" s="10">
        <v>7.7441305953027824</v>
      </c>
      <c r="W5" s="10">
        <v>8.3393134963353734</v>
      </c>
      <c r="X5" s="10">
        <v>8.9493175999653136</v>
      </c>
      <c r="Y5" s="10">
        <v>9.5707582141069043</v>
      </c>
      <c r="Z5" s="10">
        <v>10.19986329303658</v>
      </c>
      <c r="AA5" s="10">
        <v>10.832499613923883</v>
      </c>
      <c r="AB5" s="10">
        <v>11.464207661409468</v>
      </c>
      <c r="AC5" s="10">
        <v>12.090245113383716</v>
      </c>
      <c r="AD5" s="10">
        <v>12.705638589654946</v>
      </c>
    </row>
    <row r="6" spans="1:30" x14ac:dyDescent="0.15">
      <c r="A6" s="2" t="s">
        <v>32</v>
      </c>
      <c r="B6" s="2">
        <v>347638.10515199997</v>
      </c>
      <c r="C6" s="10">
        <v>1</v>
      </c>
      <c r="D6" s="10">
        <v>1.147308</v>
      </c>
      <c r="E6" s="10">
        <v>1.3120614287999999</v>
      </c>
      <c r="F6" s="10">
        <v>1.4956083261976896</v>
      </c>
      <c r="G6" s="10">
        <v>1.6992862504925959</v>
      </c>
      <c r="H6" s="10">
        <v>1.9244008958128531</v>
      </c>
      <c r="I6" s="10">
        <v>2.1722021503648827</v>
      </c>
      <c r="J6" s="10">
        <v>2.443857751289515</v>
      </c>
      <c r="K6" s="10">
        <v>2.7404247771240007</v>
      </c>
      <c r="L6" s="10">
        <v>3.0628193096039769</v>
      </c>
      <c r="M6" s="10">
        <v>3.4117846904630156</v>
      </c>
      <c r="N6" s="10">
        <v>3.787858893323373</v>
      </c>
      <c r="O6" s="10">
        <v>4.1913416226401781</v>
      </c>
      <c r="P6" s="10">
        <v>4.622261837547061</v>
      </c>
      <c r="Q6" s="10">
        <v>5.0803464746953253</v>
      </c>
      <c r="R6" s="10">
        <v>5.5649912069953604</v>
      </c>
      <c r="S6" s="10">
        <v>6.0752341207823513</v>
      </c>
      <c r="T6" s="10">
        <v>6.6097332187287821</v>
      </c>
      <c r="U6" s="10">
        <v>7.1667486565374947</v>
      </c>
      <c r="V6" s="10">
        <v>7.7441305953027824</v>
      </c>
      <c r="W6" s="10">
        <v>8.3393134963353734</v>
      </c>
      <c r="X6" s="10">
        <v>8.9493175999653136</v>
      </c>
      <c r="Y6" s="10">
        <v>9.5707582141069043</v>
      </c>
      <c r="Z6" s="10">
        <v>10.19986329303658</v>
      </c>
      <c r="AA6" s="10">
        <v>10.832499613923883</v>
      </c>
      <c r="AB6" s="10">
        <v>11.464207661409468</v>
      </c>
      <c r="AC6" s="10">
        <v>12.090245113383716</v>
      </c>
      <c r="AD6" s="10">
        <v>12.705638589654946</v>
      </c>
    </row>
    <row r="7" spans="1:30" x14ac:dyDescent="0.15">
      <c r="A7" s="2" t="s">
        <v>20</v>
      </c>
      <c r="B7" s="2">
        <v>873036.69523200009</v>
      </c>
      <c r="C7" s="10">
        <v>1</v>
      </c>
      <c r="D7" s="10">
        <v>1.147308</v>
      </c>
      <c r="E7" s="10">
        <v>1.3120614287999999</v>
      </c>
      <c r="F7" s="10">
        <v>1.4956083261976896</v>
      </c>
      <c r="G7" s="10">
        <v>1.6992862504925959</v>
      </c>
      <c r="H7" s="10">
        <v>1.9244008958128531</v>
      </c>
      <c r="I7" s="10">
        <v>2.1722021503648827</v>
      </c>
      <c r="J7" s="10">
        <v>2.443857751289515</v>
      </c>
      <c r="K7" s="10">
        <v>2.7404247771240007</v>
      </c>
      <c r="L7" s="10">
        <v>3.0628193096039769</v>
      </c>
      <c r="M7" s="10">
        <v>3.4117846904630156</v>
      </c>
      <c r="N7" s="10">
        <v>3.787858893323373</v>
      </c>
      <c r="O7" s="10">
        <v>4.1913416226401781</v>
      </c>
      <c r="P7" s="10">
        <v>4.622261837547061</v>
      </c>
      <c r="Q7" s="10">
        <v>5.0803464746953253</v>
      </c>
      <c r="R7" s="10">
        <v>5.5649912069953604</v>
      </c>
      <c r="S7" s="10">
        <v>6.0752341207823513</v>
      </c>
      <c r="T7" s="10">
        <v>6.6097332187287821</v>
      </c>
      <c r="U7" s="10">
        <v>7.1667486565374947</v>
      </c>
      <c r="V7" s="10">
        <v>7.7441305953027824</v>
      </c>
      <c r="W7" s="10">
        <v>8.3393134963353734</v>
      </c>
      <c r="X7" s="10">
        <v>8.9493175999653136</v>
      </c>
      <c r="Y7" s="10">
        <v>9.5707582141069043</v>
      </c>
      <c r="Z7" s="10">
        <v>10.19986329303658</v>
      </c>
      <c r="AA7" s="10">
        <v>10.832499613923883</v>
      </c>
      <c r="AB7" s="10">
        <v>11.464207661409468</v>
      </c>
      <c r="AC7" s="10">
        <v>12.090245113383716</v>
      </c>
      <c r="AD7" s="10">
        <v>12.705638589654946</v>
      </c>
    </row>
    <row r="8" spans="1:30" x14ac:dyDescent="0.15">
      <c r="A8" s="2" t="s">
        <v>19</v>
      </c>
      <c r="B8" s="2">
        <v>397575.48729600001</v>
      </c>
      <c r="C8" s="10">
        <v>1</v>
      </c>
      <c r="D8" s="10">
        <v>1.147308</v>
      </c>
      <c r="E8" s="10">
        <v>1.3120614287999999</v>
      </c>
      <c r="F8" s="10">
        <v>1.4956083261976896</v>
      </c>
      <c r="G8" s="10">
        <v>1.6992862504925959</v>
      </c>
      <c r="H8" s="10">
        <v>1.9244008958128531</v>
      </c>
      <c r="I8" s="10">
        <v>2.1722021503648827</v>
      </c>
      <c r="J8" s="10">
        <v>2.443857751289515</v>
      </c>
      <c r="K8" s="10">
        <v>2.7404247771240007</v>
      </c>
      <c r="L8" s="10">
        <v>3.0628193096039769</v>
      </c>
      <c r="M8" s="10">
        <v>3.4117846904630156</v>
      </c>
      <c r="N8" s="10">
        <v>3.787858893323373</v>
      </c>
      <c r="O8" s="10">
        <v>4.1913416226401781</v>
      </c>
      <c r="P8" s="10">
        <v>4.622261837547061</v>
      </c>
      <c r="Q8" s="10">
        <v>5.0803464746953253</v>
      </c>
      <c r="R8" s="10">
        <v>5.5649912069953604</v>
      </c>
      <c r="S8" s="10">
        <v>6.0752341207823513</v>
      </c>
      <c r="T8" s="10">
        <v>6.6097332187287821</v>
      </c>
      <c r="U8" s="10">
        <v>7.1667486565374947</v>
      </c>
      <c r="V8" s="10">
        <v>7.7441305953027824</v>
      </c>
      <c r="W8" s="10">
        <v>8.3393134963353734</v>
      </c>
      <c r="X8" s="10">
        <v>8.9493175999653136</v>
      </c>
      <c r="Y8" s="10">
        <v>9.5707582141069043</v>
      </c>
      <c r="Z8" s="10">
        <v>10.19986329303658</v>
      </c>
      <c r="AA8" s="10">
        <v>10.832499613923883</v>
      </c>
      <c r="AB8" s="10">
        <v>11.464207661409468</v>
      </c>
      <c r="AC8" s="10">
        <v>12.090245113383716</v>
      </c>
      <c r="AD8" s="10">
        <v>12.705638589654946</v>
      </c>
    </row>
    <row r="9" spans="1:30" x14ac:dyDescent="0.15">
      <c r="A9" s="2" t="s">
        <v>13</v>
      </c>
      <c r="B9" s="2">
        <v>897631.00680614391</v>
      </c>
      <c r="C9" s="10">
        <v>1</v>
      </c>
      <c r="D9" s="10">
        <v>1.147308</v>
      </c>
      <c r="E9" s="10">
        <v>1.3120614287999999</v>
      </c>
      <c r="F9" s="10">
        <v>1.4956083261976896</v>
      </c>
      <c r="G9" s="10">
        <v>1.6992862504925959</v>
      </c>
      <c r="H9" s="10">
        <v>1.9244008958128531</v>
      </c>
      <c r="I9" s="10">
        <v>2.1722021503648827</v>
      </c>
      <c r="J9" s="10">
        <v>2.443857751289515</v>
      </c>
      <c r="K9" s="10">
        <v>2.7404247771240007</v>
      </c>
      <c r="L9" s="10">
        <v>3.0628193096039769</v>
      </c>
      <c r="M9" s="10">
        <v>3.4117846904630156</v>
      </c>
      <c r="N9" s="10">
        <v>3.787858893323373</v>
      </c>
      <c r="O9" s="10">
        <v>4.1913416226401781</v>
      </c>
      <c r="P9" s="10">
        <v>4.622261837547061</v>
      </c>
      <c r="Q9" s="10">
        <v>5.0803464746953253</v>
      </c>
      <c r="R9" s="10">
        <v>5.5649912069953604</v>
      </c>
      <c r="S9" s="10">
        <v>6.0752341207823513</v>
      </c>
      <c r="T9" s="10">
        <v>6.6097332187287821</v>
      </c>
      <c r="U9" s="10">
        <v>7.1667486565374947</v>
      </c>
      <c r="V9" s="10">
        <v>7.7441305953027824</v>
      </c>
      <c r="W9" s="10">
        <v>8.3393134963353734</v>
      </c>
      <c r="X9" s="10">
        <v>8.9493175999653136</v>
      </c>
      <c r="Y9" s="10">
        <v>9.5707582141069043</v>
      </c>
      <c r="Z9" s="10">
        <v>10.19986329303658</v>
      </c>
      <c r="AA9" s="10">
        <v>10.832499613923883</v>
      </c>
      <c r="AB9" s="10">
        <v>11.464207661409468</v>
      </c>
      <c r="AC9" s="10">
        <v>12.090245113383716</v>
      </c>
      <c r="AD9" s="10">
        <v>12.705638589654946</v>
      </c>
    </row>
    <row r="10" spans="1:30" x14ac:dyDescent="0.15">
      <c r="A10" s="2" t="s">
        <v>25</v>
      </c>
      <c r="B10" s="2">
        <v>5994275.5315871993</v>
      </c>
      <c r="C10" s="10">
        <v>1</v>
      </c>
      <c r="D10" s="10">
        <v>1.147308</v>
      </c>
      <c r="E10" s="10">
        <v>1.3120614287999999</v>
      </c>
      <c r="F10" s="10">
        <v>1.4956083261976896</v>
      </c>
      <c r="G10" s="10">
        <v>1.6992862504925959</v>
      </c>
      <c r="H10" s="10">
        <v>1.9244008958128531</v>
      </c>
      <c r="I10" s="10">
        <v>2.1722021503648827</v>
      </c>
      <c r="J10" s="10">
        <v>2.443857751289515</v>
      </c>
      <c r="K10" s="10">
        <v>2.7404247771240007</v>
      </c>
      <c r="L10" s="10">
        <v>3.0628193096039769</v>
      </c>
      <c r="M10" s="10">
        <v>3.4117846904630156</v>
      </c>
      <c r="N10" s="10">
        <v>3.787858893323373</v>
      </c>
      <c r="O10" s="10">
        <v>4.1913416226401781</v>
      </c>
      <c r="P10" s="10">
        <v>4.622261837547061</v>
      </c>
      <c r="Q10" s="10">
        <v>5.0803464746953253</v>
      </c>
      <c r="R10" s="10">
        <v>5.5649912069953604</v>
      </c>
      <c r="S10" s="10">
        <v>6.0752341207823513</v>
      </c>
      <c r="T10" s="10">
        <v>6.6097332187287821</v>
      </c>
      <c r="U10" s="10">
        <v>7.1667486565374947</v>
      </c>
      <c r="V10" s="10">
        <v>7.7441305953027824</v>
      </c>
      <c r="W10" s="10">
        <v>8.3393134963353734</v>
      </c>
      <c r="X10" s="10">
        <v>8.9493175999653136</v>
      </c>
      <c r="Y10" s="10">
        <v>9.5707582141069043</v>
      </c>
      <c r="Z10" s="10">
        <v>10.19986329303658</v>
      </c>
      <c r="AA10" s="10">
        <v>10.832499613923883</v>
      </c>
      <c r="AB10" s="10">
        <v>11.464207661409468</v>
      </c>
      <c r="AC10" s="10">
        <v>12.090245113383716</v>
      </c>
      <c r="AD10" s="10">
        <v>12.705638589654946</v>
      </c>
    </row>
    <row r="11" spans="1:30" x14ac:dyDescent="0.15">
      <c r="A11" s="2" t="s">
        <v>17</v>
      </c>
      <c r="B11" s="2">
        <v>5885112.7457899209</v>
      </c>
      <c r="C11" s="10">
        <v>1</v>
      </c>
      <c r="D11" s="10">
        <v>1.147308</v>
      </c>
      <c r="E11" s="10">
        <v>1.3120614287999999</v>
      </c>
      <c r="F11" s="10">
        <v>1.4956083261976896</v>
      </c>
      <c r="G11" s="10">
        <v>1.6992862504925959</v>
      </c>
      <c r="H11" s="10">
        <v>1.9244008958128531</v>
      </c>
      <c r="I11" s="10">
        <v>2.1722021503648827</v>
      </c>
      <c r="J11" s="10">
        <v>2.443857751289515</v>
      </c>
      <c r="K11" s="10">
        <v>2.7404247771240007</v>
      </c>
      <c r="L11" s="10">
        <v>3.0628193096039769</v>
      </c>
      <c r="M11" s="10">
        <v>3.4117846904630156</v>
      </c>
      <c r="N11" s="10">
        <v>3.787858893323373</v>
      </c>
      <c r="O11" s="10">
        <v>4.1913416226401781</v>
      </c>
      <c r="P11" s="10">
        <v>4.622261837547061</v>
      </c>
      <c r="Q11" s="10">
        <v>5.0803464746953253</v>
      </c>
      <c r="R11" s="10">
        <v>5.5649912069953604</v>
      </c>
      <c r="S11" s="10">
        <v>6.0752341207823513</v>
      </c>
      <c r="T11" s="10">
        <v>6.6097332187287821</v>
      </c>
      <c r="U11" s="10">
        <v>7.1667486565374947</v>
      </c>
      <c r="V11" s="10">
        <v>7.7441305953027824</v>
      </c>
      <c r="W11" s="10">
        <v>8.3393134963353734</v>
      </c>
      <c r="X11" s="10">
        <v>8.9493175999653136</v>
      </c>
      <c r="Y11" s="10">
        <v>9.5707582141069043</v>
      </c>
      <c r="Z11" s="10">
        <v>10.19986329303658</v>
      </c>
      <c r="AA11" s="10">
        <v>10.832499613923883</v>
      </c>
      <c r="AB11" s="10">
        <v>11.464207661409468</v>
      </c>
      <c r="AC11" s="10">
        <v>12.090245113383716</v>
      </c>
      <c r="AD11" s="10">
        <v>12.705638589654946</v>
      </c>
    </row>
    <row r="12" spans="1:30" x14ac:dyDescent="0.15">
      <c r="A12" s="2" t="s">
        <v>31</v>
      </c>
      <c r="B12" s="2">
        <v>2265259.3731263997</v>
      </c>
      <c r="C12" s="10">
        <v>1</v>
      </c>
      <c r="D12" s="10">
        <v>1.147308</v>
      </c>
      <c r="E12" s="10">
        <v>1.3120614287999999</v>
      </c>
      <c r="F12" s="10">
        <v>1.4956083261976896</v>
      </c>
      <c r="G12" s="10">
        <v>1.6992862504925959</v>
      </c>
      <c r="H12" s="10">
        <v>1.9244008958128531</v>
      </c>
      <c r="I12" s="10">
        <v>2.1722021503648827</v>
      </c>
      <c r="J12" s="10">
        <v>2.443857751289515</v>
      </c>
      <c r="K12" s="10">
        <v>2.7404247771240007</v>
      </c>
      <c r="L12" s="10">
        <v>3.0628193096039769</v>
      </c>
      <c r="M12" s="10">
        <v>3.4117846904630156</v>
      </c>
      <c r="N12" s="10">
        <v>3.787858893323373</v>
      </c>
      <c r="O12" s="10">
        <v>4.1913416226401781</v>
      </c>
      <c r="P12" s="10">
        <v>4.622261837547061</v>
      </c>
      <c r="Q12" s="10">
        <v>5.0803464746953253</v>
      </c>
      <c r="R12" s="10">
        <v>5.5649912069953604</v>
      </c>
      <c r="S12" s="10">
        <v>6.0752341207823513</v>
      </c>
      <c r="T12" s="10">
        <v>6.6097332187287821</v>
      </c>
      <c r="U12" s="10">
        <v>7.1667486565374947</v>
      </c>
      <c r="V12" s="10">
        <v>7.7441305953027824</v>
      </c>
      <c r="W12" s="10">
        <v>8.3393134963353734</v>
      </c>
      <c r="X12" s="10">
        <v>8.9493175999653136</v>
      </c>
      <c r="Y12" s="10">
        <v>9.5707582141069043</v>
      </c>
      <c r="Z12" s="10">
        <v>10.19986329303658</v>
      </c>
      <c r="AA12" s="10">
        <v>10.832499613923883</v>
      </c>
      <c r="AB12" s="10">
        <v>11.464207661409468</v>
      </c>
      <c r="AC12" s="10">
        <v>12.090245113383716</v>
      </c>
      <c r="AD12" s="10">
        <v>12.705638589654946</v>
      </c>
    </row>
    <row r="13" spans="1:30" x14ac:dyDescent="0.15">
      <c r="A13" s="2" t="s">
        <v>0</v>
      </c>
      <c r="B13" s="2">
        <v>4023117.6888614399</v>
      </c>
      <c r="C13" s="10">
        <v>1</v>
      </c>
      <c r="D13" s="10">
        <v>1.147308</v>
      </c>
      <c r="E13" s="10">
        <v>1.3120614287999999</v>
      </c>
      <c r="F13" s="10">
        <v>1.4956083261976896</v>
      </c>
      <c r="G13" s="10">
        <v>1.6992862504925959</v>
      </c>
      <c r="H13" s="10">
        <v>1.9244008958128531</v>
      </c>
      <c r="I13" s="10">
        <v>2.1722021503648827</v>
      </c>
      <c r="J13" s="10">
        <v>2.443857751289515</v>
      </c>
      <c r="K13" s="10">
        <v>2.7404247771240007</v>
      </c>
      <c r="L13" s="10">
        <v>3.0628193096039769</v>
      </c>
      <c r="M13" s="10">
        <v>3.4117846904630156</v>
      </c>
      <c r="N13" s="10">
        <v>3.787858893323373</v>
      </c>
      <c r="O13" s="10">
        <v>4.1913416226401781</v>
      </c>
      <c r="P13" s="10">
        <v>4.622261837547061</v>
      </c>
      <c r="Q13" s="10">
        <v>5.0803464746953253</v>
      </c>
      <c r="R13" s="10">
        <v>5.5649912069953604</v>
      </c>
      <c r="S13" s="10">
        <v>6.0752341207823513</v>
      </c>
      <c r="T13" s="10">
        <v>6.6097332187287821</v>
      </c>
      <c r="U13" s="10">
        <v>7.1667486565374947</v>
      </c>
      <c r="V13" s="10">
        <v>7.7441305953027824</v>
      </c>
      <c r="W13" s="10">
        <v>8.3393134963353734</v>
      </c>
      <c r="X13" s="10">
        <v>8.9493175999653136</v>
      </c>
      <c r="Y13" s="10">
        <v>9.5707582141069043</v>
      </c>
      <c r="Z13" s="10">
        <v>10.19986329303658</v>
      </c>
      <c r="AA13" s="10">
        <v>10.832499613923883</v>
      </c>
      <c r="AB13" s="10">
        <v>11.464207661409468</v>
      </c>
      <c r="AC13" s="10">
        <v>12.090245113383716</v>
      </c>
      <c r="AD13" s="10">
        <v>12.705638589654946</v>
      </c>
    </row>
    <row r="14" spans="1:30" x14ac:dyDescent="0.15">
      <c r="A14" s="2" t="s">
        <v>6</v>
      </c>
      <c r="B14" s="2">
        <v>2629416.2712479993</v>
      </c>
      <c r="C14" s="10">
        <v>1</v>
      </c>
      <c r="D14" s="10">
        <v>1.147308</v>
      </c>
      <c r="E14" s="10">
        <v>1.3120614287999999</v>
      </c>
      <c r="F14" s="10">
        <v>1.4956083261976896</v>
      </c>
      <c r="G14" s="10">
        <v>1.6992862504925959</v>
      </c>
      <c r="H14" s="10">
        <v>1.9244008958128531</v>
      </c>
      <c r="I14" s="10">
        <v>2.1722021503648827</v>
      </c>
      <c r="J14" s="10">
        <v>2.443857751289515</v>
      </c>
      <c r="K14" s="10">
        <v>2.7404247771240007</v>
      </c>
      <c r="L14" s="10">
        <v>3.0628193096039769</v>
      </c>
      <c r="M14" s="10">
        <v>3.4117846904630156</v>
      </c>
      <c r="N14" s="10">
        <v>3.787858893323373</v>
      </c>
      <c r="O14" s="10">
        <v>4.1913416226401781</v>
      </c>
      <c r="P14" s="10">
        <v>4.622261837547061</v>
      </c>
      <c r="Q14" s="10">
        <v>5.0803464746953253</v>
      </c>
      <c r="R14" s="10">
        <v>5.5649912069953604</v>
      </c>
      <c r="S14" s="10">
        <v>6.0752341207823513</v>
      </c>
      <c r="T14" s="10">
        <v>6.6097332187287821</v>
      </c>
      <c r="U14" s="10">
        <v>7.1667486565374947</v>
      </c>
      <c r="V14" s="10">
        <v>7.7441305953027824</v>
      </c>
      <c r="W14" s="10">
        <v>8.3393134963353734</v>
      </c>
      <c r="X14" s="10">
        <v>8.9493175999653136</v>
      </c>
      <c r="Y14" s="10">
        <v>9.5707582141069043</v>
      </c>
      <c r="Z14" s="10">
        <v>10.19986329303658</v>
      </c>
      <c r="AA14" s="10">
        <v>10.832499613923883</v>
      </c>
      <c r="AB14" s="10">
        <v>11.464207661409468</v>
      </c>
      <c r="AC14" s="10">
        <v>12.090245113383716</v>
      </c>
      <c r="AD14" s="10">
        <v>12.705638589654946</v>
      </c>
    </row>
    <row r="15" spans="1:30" x14ac:dyDescent="0.15">
      <c r="A15" s="2" t="s">
        <v>18</v>
      </c>
      <c r="B15" s="2">
        <v>991800.16116479994</v>
      </c>
      <c r="C15" s="10">
        <v>1</v>
      </c>
      <c r="D15" s="10">
        <v>1.147308</v>
      </c>
      <c r="E15" s="10">
        <v>1.3120614287999999</v>
      </c>
      <c r="F15" s="10">
        <v>1.4956083261976896</v>
      </c>
      <c r="G15" s="10">
        <v>1.6992862504925959</v>
      </c>
      <c r="H15" s="10">
        <v>1.9244008958128531</v>
      </c>
      <c r="I15" s="10">
        <v>2.1722021503648827</v>
      </c>
      <c r="J15" s="10">
        <v>2.443857751289515</v>
      </c>
      <c r="K15" s="10">
        <v>2.7404247771240007</v>
      </c>
      <c r="L15" s="10">
        <v>3.0628193096039769</v>
      </c>
      <c r="M15" s="10">
        <v>3.4117846904630156</v>
      </c>
      <c r="N15" s="10">
        <v>3.787858893323373</v>
      </c>
      <c r="O15" s="10">
        <v>4.1913416226401781</v>
      </c>
      <c r="P15" s="10">
        <v>4.622261837547061</v>
      </c>
      <c r="Q15" s="10">
        <v>5.0803464746953253</v>
      </c>
      <c r="R15" s="10">
        <v>5.5649912069953604</v>
      </c>
      <c r="S15" s="10">
        <v>6.0752341207823513</v>
      </c>
      <c r="T15" s="10">
        <v>6.6097332187287821</v>
      </c>
      <c r="U15" s="10">
        <v>7.1667486565374947</v>
      </c>
      <c r="V15" s="10">
        <v>7.7441305953027824</v>
      </c>
      <c r="W15" s="10">
        <v>8.3393134963353734</v>
      </c>
      <c r="X15" s="10">
        <v>8.9493175999653136</v>
      </c>
      <c r="Y15" s="10">
        <v>9.5707582141069043</v>
      </c>
      <c r="Z15" s="10">
        <v>10.19986329303658</v>
      </c>
      <c r="AA15" s="10">
        <v>10.832499613923883</v>
      </c>
      <c r="AB15" s="10">
        <v>11.464207661409468</v>
      </c>
      <c r="AC15" s="10">
        <v>12.090245113383716</v>
      </c>
      <c r="AD15" s="10">
        <v>12.705638589654946</v>
      </c>
    </row>
    <row r="16" spans="1:30" x14ac:dyDescent="0.15">
      <c r="A16" s="2" t="s">
        <v>24</v>
      </c>
      <c r="B16" s="2">
        <v>3983632.2686908795</v>
      </c>
      <c r="C16" s="10">
        <v>1</v>
      </c>
      <c r="D16" s="10">
        <v>1.147308</v>
      </c>
      <c r="E16" s="10">
        <v>1.3120614287999999</v>
      </c>
      <c r="F16" s="10">
        <v>1.4956083261976896</v>
      </c>
      <c r="G16" s="10">
        <v>1.6992862504925959</v>
      </c>
      <c r="H16" s="10">
        <v>1.9244008958128531</v>
      </c>
      <c r="I16" s="10">
        <v>2.1722021503648827</v>
      </c>
      <c r="J16" s="10">
        <v>2.443857751289515</v>
      </c>
      <c r="K16" s="10">
        <v>2.7404247771240007</v>
      </c>
      <c r="L16" s="10">
        <v>3.0628193096039769</v>
      </c>
      <c r="M16" s="10">
        <v>3.4117846904630156</v>
      </c>
      <c r="N16" s="10">
        <v>3.787858893323373</v>
      </c>
      <c r="O16" s="10">
        <v>4.1913416226401781</v>
      </c>
      <c r="P16" s="10">
        <v>4.622261837547061</v>
      </c>
      <c r="Q16" s="10">
        <v>5.0803464746953253</v>
      </c>
      <c r="R16" s="10">
        <v>5.5649912069953604</v>
      </c>
      <c r="S16" s="10">
        <v>6.0752341207823513</v>
      </c>
      <c r="T16" s="10">
        <v>6.6097332187287821</v>
      </c>
      <c r="U16" s="10">
        <v>7.1667486565374947</v>
      </c>
      <c r="V16" s="10">
        <v>7.7441305953027824</v>
      </c>
      <c r="W16" s="10">
        <v>8.3393134963353734</v>
      </c>
      <c r="X16" s="10">
        <v>8.9493175999653136</v>
      </c>
      <c r="Y16" s="10">
        <v>9.5707582141069043</v>
      </c>
      <c r="Z16" s="10">
        <v>10.19986329303658</v>
      </c>
      <c r="AA16" s="10">
        <v>10.832499613923883</v>
      </c>
      <c r="AB16" s="10">
        <v>11.464207661409468</v>
      </c>
      <c r="AC16" s="10">
        <v>12.090245113383716</v>
      </c>
      <c r="AD16" s="10">
        <v>12.705638589654946</v>
      </c>
    </row>
    <row r="17" spans="1:30" x14ac:dyDescent="0.15">
      <c r="A17" s="2" t="s">
        <v>14</v>
      </c>
      <c r="B17" s="2">
        <v>3869685.0822239998</v>
      </c>
      <c r="C17" s="10">
        <v>1</v>
      </c>
      <c r="D17" s="10">
        <v>1.147308</v>
      </c>
      <c r="E17" s="10">
        <v>1.3120614287999999</v>
      </c>
      <c r="F17" s="10">
        <v>1.4956083261976896</v>
      </c>
      <c r="G17" s="10">
        <v>1.6992862504925959</v>
      </c>
      <c r="H17" s="10">
        <v>1.9244008958128531</v>
      </c>
      <c r="I17" s="10">
        <v>2.1722021503648827</v>
      </c>
      <c r="J17" s="10">
        <v>2.443857751289515</v>
      </c>
      <c r="K17" s="10">
        <v>2.7404247771240007</v>
      </c>
      <c r="L17" s="10">
        <v>3.0628193096039769</v>
      </c>
      <c r="M17" s="10">
        <v>3.4117846904630156</v>
      </c>
      <c r="N17" s="10">
        <v>3.787858893323373</v>
      </c>
      <c r="O17" s="10">
        <v>4.1913416226401781</v>
      </c>
      <c r="P17" s="10">
        <v>4.622261837547061</v>
      </c>
      <c r="Q17" s="10">
        <v>5.0803464746953253</v>
      </c>
      <c r="R17" s="10">
        <v>5.5649912069953604</v>
      </c>
      <c r="S17" s="10">
        <v>6.0752341207823513</v>
      </c>
      <c r="T17" s="10">
        <v>6.6097332187287821</v>
      </c>
      <c r="U17" s="10">
        <v>7.1667486565374947</v>
      </c>
      <c r="V17" s="10">
        <v>7.7441305953027824</v>
      </c>
      <c r="W17" s="10">
        <v>8.3393134963353734</v>
      </c>
      <c r="X17" s="10">
        <v>8.9493175999653136</v>
      </c>
      <c r="Y17" s="10">
        <v>9.5707582141069043</v>
      </c>
      <c r="Z17" s="10">
        <v>10.19986329303658</v>
      </c>
      <c r="AA17" s="10">
        <v>10.832499613923883</v>
      </c>
      <c r="AB17" s="10">
        <v>11.464207661409468</v>
      </c>
      <c r="AC17" s="10">
        <v>12.090245113383716</v>
      </c>
      <c r="AD17" s="10">
        <v>12.705638589654946</v>
      </c>
    </row>
    <row r="18" spans="1:30" x14ac:dyDescent="0.15">
      <c r="A18" s="2" t="s">
        <v>15</v>
      </c>
      <c r="B18" s="2">
        <v>2021873.7049056001</v>
      </c>
      <c r="C18" s="10">
        <v>1</v>
      </c>
      <c r="D18" s="10">
        <v>1.147308</v>
      </c>
      <c r="E18" s="10">
        <v>1.3120614287999999</v>
      </c>
      <c r="F18" s="10">
        <v>1.4956083261976896</v>
      </c>
      <c r="G18" s="10">
        <v>1.6992862504925959</v>
      </c>
      <c r="H18" s="10">
        <v>1.9244008958128531</v>
      </c>
      <c r="I18" s="10">
        <v>2.1722021503648827</v>
      </c>
      <c r="J18" s="10">
        <v>2.443857751289515</v>
      </c>
      <c r="K18" s="10">
        <v>2.7404247771240007</v>
      </c>
      <c r="L18" s="10">
        <v>3.0628193096039769</v>
      </c>
      <c r="M18" s="10">
        <v>3.4117846904630156</v>
      </c>
      <c r="N18" s="10">
        <v>3.787858893323373</v>
      </c>
      <c r="O18" s="10">
        <v>4.1913416226401781</v>
      </c>
      <c r="P18" s="10">
        <v>4.622261837547061</v>
      </c>
      <c r="Q18" s="10">
        <v>5.0803464746953253</v>
      </c>
      <c r="R18" s="10">
        <v>5.5649912069953604</v>
      </c>
      <c r="S18" s="10">
        <v>6.0752341207823513</v>
      </c>
      <c r="T18" s="10">
        <v>6.6097332187287821</v>
      </c>
      <c r="U18" s="10">
        <v>7.1667486565374947</v>
      </c>
      <c r="V18" s="10">
        <v>7.7441305953027824</v>
      </c>
      <c r="W18" s="10">
        <v>8.3393134963353734</v>
      </c>
      <c r="X18" s="10">
        <v>8.9493175999653136</v>
      </c>
      <c r="Y18" s="10">
        <v>9.5707582141069043</v>
      </c>
      <c r="Z18" s="10">
        <v>10.19986329303658</v>
      </c>
      <c r="AA18" s="10">
        <v>10.832499613923883</v>
      </c>
      <c r="AB18" s="10">
        <v>11.464207661409468</v>
      </c>
      <c r="AC18" s="10">
        <v>12.090245113383716</v>
      </c>
      <c r="AD18" s="10">
        <v>12.705638589654946</v>
      </c>
    </row>
    <row r="19" spans="1:30" x14ac:dyDescent="0.15">
      <c r="A19" s="2" t="s">
        <v>16</v>
      </c>
      <c r="B19" s="2">
        <v>4934840.8736998076</v>
      </c>
      <c r="C19" s="10">
        <v>1</v>
      </c>
      <c r="D19" s="10">
        <v>1.147308</v>
      </c>
      <c r="E19" s="10">
        <v>1.3120614287999999</v>
      </c>
      <c r="F19" s="10">
        <v>1.4956083261976896</v>
      </c>
      <c r="G19" s="10">
        <v>1.6992862504925959</v>
      </c>
      <c r="H19" s="10">
        <v>1.9244008958128531</v>
      </c>
      <c r="I19" s="10">
        <v>2.1722021503648827</v>
      </c>
      <c r="J19" s="10">
        <v>2.443857751289515</v>
      </c>
      <c r="K19" s="10">
        <v>2.7404247771240007</v>
      </c>
      <c r="L19" s="10">
        <v>3.0628193096039769</v>
      </c>
      <c r="M19" s="10">
        <v>3.4117846904630156</v>
      </c>
      <c r="N19" s="10">
        <v>3.787858893323373</v>
      </c>
      <c r="O19" s="10">
        <v>4.1913416226401781</v>
      </c>
      <c r="P19" s="10">
        <v>4.622261837547061</v>
      </c>
      <c r="Q19" s="10">
        <v>5.0803464746953253</v>
      </c>
      <c r="R19" s="10">
        <v>5.5649912069953604</v>
      </c>
      <c r="S19" s="10">
        <v>6.0752341207823513</v>
      </c>
      <c r="T19" s="10">
        <v>6.6097332187287821</v>
      </c>
      <c r="U19" s="10">
        <v>7.1667486565374947</v>
      </c>
      <c r="V19" s="10">
        <v>7.7441305953027824</v>
      </c>
      <c r="W19" s="10">
        <v>8.3393134963353734</v>
      </c>
      <c r="X19" s="10">
        <v>8.9493175999653136</v>
      </c>
      <c r="Y19" s="10">
        <v>9.5707582141069043</v>
      </c>
      <c r="Z19" s="10">
        <v>10.19986329303658</v>
      </c>
      <c r="AA19" s="10">
        <v>10.832499613923883</v>
      </c>
      <c r="AB19" s="10">
        <v>11.464207661409468</v>
      </c>
      <c r="AC19" s="10">
        <v>12.090245113383716</v>
      </c>
      <c r="AD19" s="10">
        <v>12.705638589654946</v>
      </c>
    </row>
    <row r="20" spans="1:30" ht="15" x14ac:dyDescent="0.25">
      <c r="A20" s="6" t="s">
        <v>8</v>
      </c>
      <c r="B20" s="2">
        <v>15571158.902675997</v>
      </c>
      <c r="C20" s="10">
        <v>1</v>
      </c>
      <c r="D20" s="10">
        <v>1.147308</v>
      </c>
      <c r="E20" s="10">
        <v>1.3120614287999999</v>
      </c>
      <c r="F20" s="10">
        <v>1.4956083261976896</v>
      </c>
      <c r="G20" s="10">
        <v>1.6992862504925959</v>
      </c>
      <c r="H20" s="10">
        <v>1.9244008958128531</v>
      </c>
      <c r="I20" s="10">
        <v>2.1722021503648827</v>
      </c>
      <c r="J20" s="10">
        <v>2.443857751289515</v>
      </c>
      <c r="K20" s="10">
        <v>2.7404247771240007</v>
      </c>
      <c r="L20" s="10">
        <v>3.0628193096039769</v>
      </c>
      <c r="M20" s="10">
        <v>3.4117846904630156</v>
      </c>
      <c r="N20" s="10">
        <v>3.787858893323373</v>
      </c>
      <c r="O20" s="10">
        <v>4.1913416226401781</v>
      </c>
      <c r="P20" s="10">
        <v>4.622261837547061</v>
      </c>
      <c r="Q20" s="10">
        <v>5.0803464746953253</v>
      </c>
      <c r="R20" s="10">
        <v>5.5649912069953604</v>
      </c>
      <c r="S20" s="10">
        <v>6.0752341207823513</v>
      </c>
      <c r="T20" s="10">
        <v>6.6097332187287821</v>
      </c>
      <c r="U20" s="10">
        <v>7.1667486565374947</v>
      </c>
      <c r="V20" s="10">
        <v>7.7441305953027824</v>
      </c>
      <c r="W20" s="10">
        <v>8.3393134963353734</v>
      </c>
      <c r="X20" s="10">
        <v>8.9493175999653136</v>
      </c>
      <c r="Y20" s="10">
        <v>9.5707582141069043</v>
      </c>
      <c r="Z20" s="10">
        <v>10.19986329303658</v>
      </c>
      <c r="AA20" s="10">
        <v>10.832499613923883</v>
      </c>
      <c r="AB20" s="10">
        <v>11.464207661409468</v>
      </c>
      <c r="AC20" s="10">
        <v>12.090245113383716</v>
      </c>
      <c r="AD20" s="10">
        <v>12.705638589654946</v>
      </c>
    </row>
    <row r="21" spans="1:30" x14ac:dyDescent="0.15">
      <c r="A21" s="2" t="s">
        <v>9</v>
      </c>
      <c r="B21" s="2">
        <v>1185572.8564617599</v>
      </c>
      <c r="C21" s="10">
        <v>1</v>
      </c>
      <c r="D21" s="10">
        <v>1.147308</v>
      </c>
      <c r="E21" s="10">
        <v>1.3120614287999999</v>
      </c>
      <c r="F21" s="10">
        <v>1.4956083261976896</v>
      </c>
      <c r="G21" s="10">
        <v>1.6992862504925959</v>
      </c>
      <c r="H21" s="10">
        <v>1.9244008958128531</v>
      </c>
      <c r="I21" s="10">
        <v>2.1722021503648827</v>
      </c>
      <c r="J21" s="10">
        <v>2.443857751289515</v>
      </c>
      <c r="K21" s="10">
        <v>2.7404247771240007</v>
      </c>
      <c r="L21" s="10">
        <v>3.0628193096039769</v>
      </c>
      <c r="M21" s="10">
        <v>3.4117846904630156</v>
      </c>
      <c r="N21" s="10">
        <v>3.787858893323373</v>
      </c>
      <c r="O21" s="10">
        <v>4.1913416226401781</v>
      </c>
      <c r="P21" s="10">
        <v>4.622261837547061</v>
      </c>
      <c r="Q21" s="10">
        <v>5.0803464746953253</v>
      </c>
      <c r="R21" s="10">
        <v>5.5649912069953604</v>
      </c>
      <c r="S21" s="10">
        <v>6.0752341207823513</v>
      </c>
      <c r="T21" s="10">
        <v>6.6097332187287821</v>
      </c>
      <c r="U21" s="10">
        <v>7.1667486565374947</v>
      </c>
      <c r="V21" s="10">
        <v>7.7441305953027824</v>
      </c>
      <c r="W21" s="10">
        <v>8.3393134963353734</v>
      </c>
      <c r="X21" s="10">
        <v>8.9493175999653136</v>
      </c>
      <c r="Y21" s="10">
        <v>9.5707582141069043</v>
      </c>
      <c r="Z21" s="10">
        <v>10.19986329303658</v>
      </c>
      <c r="AA21" s="10">
        <v>10.832499613923883</v>
      </c>
      <c r="AB21" s="10">
        <v>11.464207661409468</v>
      </c>
      <c r="AC21" s="10">
        <v>12.090245113383716</v>
      </c>
      <c r="AD21" s="10">
        <v>12.705638589654946</v>
      </c>
    </row>
    <row r="22" spans="1:30" x14ac:dyDescent="0.15">
      <c r="A22" s="2" t="s">
        <v>11</v>
      </c>
      <c r="B22" s="2">
        <v>503030.41363199998</v>
      </c>
      <c r="C22" s="10">
        <v>1</v>
      </c>
      <c r="D22" s="10">
        <v>1.147308</v>
      </c>
      <c r="E22" s="10">
        <v>1.3120614287999999</v>
      </c>
      <c r="F22" s="10">
        <v>1.4956083261976896</v>
      </c>
      <c r="G22" s="10">
        <v>1.6992862504925959</v>
      </c>
      <c r="H22" s="10">
        <v>1.9244008958128531</v>
      </c>
      <c r="I22" s="10">
        <v>2.1722021503648827</v>
      </c>
      <c r="J22" s="10">
        <v>2.443857751289515</v>
      </c>
      <c r="K22" s="10">
        <v>2.7404247771240007</v>
      </c>
      <c r="L22" s="10">
        <v>3.0628193096039769</v>
      </c>
      <c r="M22" s="10">
        <v>3.4117846904630156</v>
      </c>
      <c r="N22" s="10">
        <v>3.787858893323373</v>
      </c>
      <c r="O22" s="10">
        <v>4.1913416226401781</v>
      </c>
      <c r="P22" s="10">
        <v>4.622261837547061</v>
      </c>
      <c r="Q22" s="10">
        <v>5.0803464746953253</v>
      </c>
      <c r="R22" s="10">
        <v>5.5649912069953604</v>
      </c>
      <c r="S22" s="10">
        <v>6.0752341207823513</v>
      </c>
      <c r="T22" s="10">
        <v>6.6097332187287821</v>
      </c>
      <c r="U22" s="10">
        <v>7.1667486565374947</v>
      </c>
      <c r="V22" s="10">
        <v>7.7441305953027824</v>
      </c>
      <c r="W22" s="10">
        <v>8.3393134963353734</v>
      </c>
      <c r="X22" s="10">
        <v>8.9493175999653136</v>
      </c>
      <c r="Y22" s="10">
        <v>9.5707582141069043</v>
      </c>
      <c r="Z22" s="10">
        <v>10.19986329303658</v>
      </c>
      <c r="AA22" s="10">
        <v>10.832499613923883</v>
      </c>
      <c r="AB22" s="10">
        <v>11.464207661409468</v>
      </c>
      <c r="AC22" s="10">
        <v>12.090245113383716</v>
      </c>
      <c r="AD22" s="10">
        <v>12.705638589654946</v>
      </c>
    </row>
    <row r="23" spans="1:30" x14ac:dyDescent="0.15">
      <c r="A23" s="2" t="s">
        <v>5</v>
      </c>
      <c r="B23" s="2">
        <v>1701337.1726472001</v>
      </c>
      <c r="C23" s="10">
        <v>1</v>
      </c>
      <c r="D23" s="10">
        <v>1.147308</v>
      </c>
      <c r="E23" s="10">
        <v>1.3120614287999999</v>
      </c>
      <c r="F23" s="10">
        <v>1.4956083261976896</v>
      </c>
      <c r="G23" s="10">
        <v>1.6992862504925959</v>
      </c>
      <c r="H23" s="10">
        <v>1.9244008958128531</v>
      </c>
      <c r="I23" s="10">
        <v>2.1722021503648827</v>
      </c>
      <c r="J23" s="10">
        <v>2.443857751289515</v>
      </c>
      <c r="K23" s="10">
        <v>2.7404247771240007</v>
      </c>
      <c r="L23" s="10">
        <v>3.0628193096039769</v>
      </c>
      <c r="M23" s="10">
        <v>3.4117846904630156</v>
      </c>
      <c r="N23" s="10">
        <v>3.787858893323373</v>
      </c>
      <c r="O23" s="10">
        <v>4.1913416226401781</v>
      </c>
      <c r="P23" s="10">
        <v>4.622261837547061</v>
      </c>
      <c r="Q23" s="10">
        <v>5.0803464746953253</v>
      </c>
      <c r="R23" s="10">
        <v>5.5649912069953604</v>
      </c>
      <c r="S23" s="10">
        <v>6.0752341207823513</v>
      </c>
      <c r="T23" s="10">
        <v>6.6097332187287821</v>
      </c>
      <c r="U23" s="10">
        <v>7.1667486565374947</v>
      </c>
      <c r="V23" s="10">
        <v>7.7441305953027824</v>
      </c>
      <c r="W23" s="10">
        <v>8.3393134963353734</v>
      </c>
      <c r="X23" s="10">
        <v>8.9493175999653136</v>
      </c>
      <c r="Y23" s="10">
        <v>9.5707582141069043</v>
      </c>
      <c r="Z23" s="10">
        <v>10.19986329303658</v>
      </c>
      <c r="AA23" s="10">
        <v>10.832499613923883</v>
      </c>
      <c r="AB23" s="10">
        <v>11.464207661409468</v>
      </c>
      <c r="AC23" s="10">
        <v>12.090245113383716</v>
      </c>
      <c r="AD23" s="10">
        <v>12.705638589654946</v>
      </c>
    </row>
    <row r="24" spans="1:30" x14ac:dyDescent="0.15">
      <c r="A24" s="2" t="s">
        <v>27</v>
      </c>
      <c r="B24" s="2">
        <v>7058020.2867840007</v>
      </c>
      <c r="C24" s="10">
        <v>1</v>
      </c>
      <c r="D24" s="10">
        <v>1.147308</v>
      </c>
      <c r="E24" s="10">
        <v>1.3120614287999999</v>
      </c>
      <c r="F24" s="10">
        <v>1.4956083261976896</v>
      </c>
      <c r="G24" s="10">
        <v>1.6992862504925959</v>
      </c>
      <c r="H24" s="10">
        <v>1.9244008958128531</v>
      </c>
      <c r="I24" s="10">
        <v>2.1722021503648827</v>
      </c>
      <c r="J24" s="10">
        <v>2.443857751289515</v>
      </c>
      <c r="K24" s="10">
        <v>2.7404247771240007</v>
      </c>
      <c r="L24" s="10">
        <v>3.0628193096039769</v>
      </c>
      <c r="M24" s="10">
        <v>3.4117846904630156</v>
      </c>
      <c r="N24" s="10">
        <v>3.787858893323373</v>
      </c>
      <c r="O24" s="10">
        <v>4.1913416226401781</v>
      </c>
      <c r="P24" s="10">
        <v>4.622261837547061</v>
      </c>
      <c r="Q24" s="10">
        <v>5.0803464746953253</v>
      </c>
      <c r="R24" s="10">
        <v>5.5649912069953604</v>
      </c>
      <c r="S24" s="10">
        <v>6.0752341207823513</v>
      </c>
      <c r="T24" s="10">
        <v>6.6097332187287821</v>
      </c>
      <c r="U24" s="10">
        <v>7.1667486565374947</v>
      </c>
      <c r="V24" s="10">
        <v>7.7441305953027824</v>
      </c>
      <c r="W24" s="10">
        <v>8.3393134963353734</v>
      </c>
      <c r="X24" s="10">
        <v>8.9493175999653136</v>
      </c>
      <c r="Y24" s="10">
        <v>9.5707582141069043</v>
      </c>
      <c r="Z24" s="10">
        <v>10.19986329303658</v>
      </c>
      <c r="AA24" s="10">
        <v>10.832499613923883</v>
      </c>
      <c r="AB24" s="10">
        <v>11.464207661409468</v>
      </c>
      <c r="AC24" s="10">
        <v>12.090245113383716</v>
      </c>
      <c r="AD24" s="10">
        <v>12.705638589654946</v>
      </c>
    </row>
    <row r="25" spans="1:30" x14ac:dyDescent="0.15">
      <c r="A25" s="2" t="s">
        <v>10</v>
      </c>
      <c r="B25" s="2">
        <v>682320.40156799997</v>
      </c>
      <c r="C25" s="10">
        <v>1</v>
      </c>
      <c r="D25" s="10">
        <v>1.147308</v>
      </c>
      <c r="E25" s="10">
        <v>1.3120614287999999</v>
      </c>
      <c r="F25" s="10">
        <v>1.4956083261976896</v>
      </c>
      <c r="G25" s="10">
        <v>1.6992862504925959</v>
      </c>
      <c r="H25" s="10">
        <v>1.9244008958128531</v>
      </c>
      <c r="I25" s="10">
        <v>2.1722021503648827</v>
      </c>
      <c r="J25" s="10">
        <v>2.443857751289515</v>
      </c>
      <c r="K25" s="10">
        <v>2.7404247771240007</v>
      </c>
      <c r="L25" s="10">
        <v>3.0628193096039769</v>
      </c>
      <c r="M25" s="10">
        <v>3.4117846904630156</v>
      </c>
      <c r="N25" s="10">
        <v>3.787858893323373</v>
      </c>
      <c r="O25" s="10">
        <v>4.1913416226401781</v>
      </c>
      <c r="P25" s="10">
        <v>4.622261837547061</v>
      </c>
      <c r="Q25" s="10">
        <v>5.0803464746953253</v>
      </c>
      <c r="R25" s="10">
        <v>5.5649912069953604</v>
      </c>
      <c r="S25" s="10">
        <v>6.0752341207823513</v>
      </c>
      <c r="T25" s="10">
        <v>6.6097332187287821</v>
      </c>
      <c r="U25" s="10">
        <v>7.1667486565374947</v>
      </c>
      <c r="V25" s="10">
        <v>7.7441305953027824</v>
      </c>
      <c r="W25" s="10">
        <v>8.3393134963353734</v>
      </c>
      <c r="X25" s="10">
        <v>8.9493175999653136</v>
      </c>
      <c r="Y25" s="10">
        <v>9.5707582141069043</v>
      </c>
      <c r="Z25" s="10">
        <v>10.19986329303658</v>
      </c>
      <c r="AA25" s="10">
        <v>10.832499613923883</v>
      </c>
      <c r="AB25" s="10">
        <v>11.464207661409468</v>
      </c>
      <c r="AC25" s="10">
        <v>12.090245113383716</v>
      </c>
      <c r="AD25" s="10">
        <v>12.705638589654946</v>
      </c>
    </row>
    <row r="26" spans="1:30" x14ac:dyDescent="0.15">
      <c r="A26" s="2" t="s">
        <v>30</v>
      </c>
      <c r="B26" s="2">
        <v>412813.17791999999</v>
      </c>
      <c r="C26" s="10">
        <v>1</v>
      </c>
      <c r="D26" s="10">
        <v>1.147308</v>
      </c>
      <c r="E26" s="10">
        <v>1.3120614287999999</v>
      </c>
      <c r="F26" s="10">
        <v>1.4956083261976896</v>
      </c>
      <c r="G26" s="10">
        <v>1.6992862504925959</v>
      </c>
      <c r="H26" s="10">
        <v>1.9244008958128531</v>
      </c>
      <c r="I26" s="10">
        <v>2.1722021503648827</v>
      </c>
      <c r="J26" s="10">
        <v>2.443857751289515</v>
      </c>
      <c r="K26" s="10">
        <v>2.7404247771240007</v>
      </c>
      <c r="L26" s="10">
        <v>3.0628193096039769</v>
      </c>
      <c r="M26" s="10">
        <v>3.4117846904630156</v>
      </c>
      <c r="N26" s="10">
        <v>3.787858893323373</v>
      </c>
      <c r="O26" s="10">
        <v>4.1913416226401781</v>
      </c>
      <c r="P26" s="10">
        <v>4.622261837547061</v>
      </c>
      <c r="Q26" s="10">
        <v>5.0803464746953253</v>
      </c>
      <c r="R26" s="10">
        <v>5.5649912069953604</v>
      </c>
      <c r="S26" s="10">
        <v>6.0752341207823513</v>
      </c>
      <c r="T26" s="10">
        <v>6.6097332187287821</v>
      </c>
      <c r="U26" s="10">
        <v>7.1667486565374947</v>
      </c>
      <c r="V26" s="10">
        <v>7.7441305953027824</v>
      </c>
      <c r="W26" s="10">
        <v>8.3393134963353734</v>
      </c>
      <c r="X26" s="10">
        <v>8.9493175999653136</v>
      </c>
      <c r="Y26" s="10">
        <v>9.5707582141069043</v>
      </c>
      <c r="Z26" s="10">
        <v>10.19986329303658</v>
      </c>
      <c r="AA26" s="10">
        <v>10.832499613923883</v>
      </c>
      <c r="AB26" s="10">
        <v>11.464207661409468</v>
      </c>
      <c r="AC26" s="10">
        <v>12.090245113383716</v>
      </c>
      <c r="AD26" s="10">
        <v>12.705638589654946</v>
      </c>
    </row>
    <row r="27" spans="1:30" x14ac:dyDescent="0.15">
      <c r="A27" s="2" t="s">
        <v>23</v>
      </c>
      <c r="B27" s="2">
        <v>4821327.8574240003</v>
      </c>
      <c r="C27" s="10">
        <v>1</v>
      </c>
      <c r="D27" s="10">
        <v>1.147308</v>
      </c>
      <c r="E27" s="10">
        <v>1.3120614287999999</v>
      </c>
      <c r="F27" s="10">
        <v>1.4956083261976896</v>
      </c>
      <c r="G27" s="10">
        <v>1.6992862504925959</v>
      </c>
      <c r="H27" s="10">
        <v>1.9244008958128531</v>
      </c>
      <c r="I27" s="10">
        <v>2.1722021503648827</v>
      </c>
      <c r="J27" s="10">
        <v>2.443857751289515</v>
      </c>
      <c r="K27" s="10">
        <v>2.7404247771240007</v>
      </c>
      <c r="L27" s="10">
        <v>3.0628193096039769</v>
      </c>
      <c r="M27" s="10">
        <v>3.4117846904630156</v>
      </c>
      <c r="N27" s="10">
        <v>3.787858893323373</v>
      </c>
      <c r="O27" s="10">
        <v>4.1913416226401781</v>
      </c>
      <c r="P27" s="10">
        <v>4.622261837547061</v>
      </c>
      <c r="Q27" s="10">
        <v>5.0803464746953253</v>
      </c>
      <c r="R27" s="10">
        <v>5.5649912069953604</v>
      </c>
      <c r="S27" s="10">
        <v>6.0752341207823513</v>
      </c>
      <c r="T27" s="10">
        <v>6.6097332187287821</v>
      </c>
      <c r="U27" s="10">
        <v>7.1667486565374947</v>
      </c>
      <c r="V27" s="10">
        <v>7.7441305953027824</v>
      </c>
      <c r="W27" s="10">
        <v>8.3393134963353734</v>
      </c>
      <c r="X27" s="10">
        <v>8.9493175999653136</v>
      </c>
      <c r="Y27" s="10">
        <v>9.5707582141069043</v>
      </c>
      <c r="Z27" s="10">
        <v>10.19986329303658</v>
      </c>
      <c r="AA27" s="10">
        <v>10.832499613923883</v>
      </c>
      <c r="AB27" s="10">
        <v>11.464207661409468</v>
      </c>
      <c r="AC27" s="10">
        <v>12.090245113383716</v>
      </c>
      <c r="AD27" s="10">
        <v>12.705638589654946</v>
      </c>
    </row>
    <row r="28" spans="1:30" x14ac:dyDescent="0.15">
      <c r="A28" s="2" t="s">
        <v>7</v>
      </c>
      <c r="B28" s="2">
        <v>6716700.4788000006</v>
      </c>
      <c r="C28" s="10">
        <v>1</v>
      </c>
      <c r="D28" s="10">
        <v>1.147308</v>
      </c>
      <c r="E28" s="10">
        <v>1.3120614287999999</v>
      </c>
      <c r="F28" s="10">
        <v>1.4956083261976896</v>
      </c>
      <c r="G28" s="10">
        <v>1.6992862504925959</v>
      </c>
      <c r="H28" s="10">
        <v>1.9244008958128531</v>
      </c>
      <c r="I28" s="10">
        <v>2.1722021503648827</v>
      </c>
      <c r="J28" s="10">
        <v>2.443857751289515</v>
      </c>
      <c r="K28" s="10">
        <v>2.7404247771240007</v>
      </c>
      <c r="L28" s="10">
        <v>3.0628193096039769</v>
      </c>
      <c r="M28" s="10">
        <v>3.4117846904630156</v>
      </c>
      <c r="N28" s="10">
        <v>3.787858893323373</v>
      </c>
      <c r="O28" s="10">
        <v>4.1913416226401781</v>
      </c>
      <c r="P28" s="10">
        <v>4.622261837547061</v>
      </c>
      <c r="Q28" s="10">
        <v>5.0803464746953253</v>
      </c>
      <c r="R28" s="10">
        <v>5.5649912069953604</v>
      </c>
      <c r="S28" s="10">
        <v>6.0752341207823513</v>
      </c>
      <c r="T28" s="10">
        <v>6.6097332187287821</v>
      </c>
      <c r="U28" s="10">
        <v>7.1667486565374947</v>
      </c>
      <c r="V28" s="10">
        <v>7.7441305953027824</v>
      </c>
      <c r="W28" s="10">
        <v>8.3393134963353734</v>
      </c>
      <c r="X28" s="10">
        <v>8.9493175999653136</v>
      </c>
      <c r="Y28" s="10">
        <v>9.5707582141069043</v>
      </c>
      <c r="Z28" s="10">
        <v>10.19986329303658</v>
      </c>
      <c r="AA28" s="10">
        <v>10.832499613923883</v>
      </c>
      <c r="AB28" s="10">
        <v>11.464207661409468</v>
      </c>
      <c r="AC28" s="10">
        <v>12.090245113383716</v>
      </c>
      <c r="AD28" s="10">
        <v>12.705638589654946</v>
      </c>
    </row>
    <row r="29" spans="1:30" x14ac:dyDescent="0.15">
      <c r="A29" s="2" t="s">
        <v>22</v>
      </c>
      <c r="B29" s="2">
        <v>30079.352160000002</v>
      </c>
      <c r="C29" s="10">
        <v>1</v>
      </c>
      <c r="D29" s="10">
        <v>1.147308</v>
      </c>
      <c r="E29" s="10">
        <v>1.3120614287999999</v>
      </c>
      <c r="F29" s="10">
        <v>1.4956083261976896</v>
      </c>
      <c r="G29" s="10">
        <v>1.6992862504925959</v>
      </c>
      <c r="H29" s="10">
        <v>1.9244008958128531</v>
      </c>
      <c r="I29" s="10">
        <v>2.1722021503648827</v>
      </c>
      <c r="J29" s="10">
        <v>2.443857751289515</v>
      </c>
      <c r="K29" s="10">
        <v>2.7404247771240007</v>
      </c>
      <c r="L29" s="10">
        <v>3.0628193096039769</v>
      </c>
      <c r="M29" s="10">
        <v>3.4117846904630156</v>
      </c>
      <c r="N29" s="10">
        <v>3.787858893323373</v>
      </c>
      <c r="O29" s="10">
        <v>4.1913416226401781</v>
      </c>
      <c r="P29" s="10">
        <v>4.622261837547061</v>
      </c>
      <c r="Q29" s="10">
        <v>5.0803464746953253</v>
      </c>
      <c r="R29" s="10">
        <v>5.5649912069953604</v>
      </c>
      <c r="S29" s="10">
        <v>6.0752341207823513</v>
      </c>
      <c r="T29" s="10">
        <v>6.6097332187287821</v>
      </c>
      <c r="U29" s="10">
        <v>7.1667486565374947</v>
      </c>
      <c r="V29" s="10">
        <v>7.7441305953027824</v>
      </c>
      <c r="W29" s="10">
        <v>8.3393134963353734</v>
      </c>
      <c r="X29" s="10">
        <v>8.9493175999653136</v>
      </c>
      <c r="Y29" s="10">
        <v>9.5707582141069043</v>
      </c>
      <c r="Z29" s="10">
        <v>10.19986329303658</v>
      </c>
      <c r="AA29" s="10">
        <v>10.832499613923883</v>
      </c>
      <c r="AB29" s="10">
        <v>11.464207661409468</v>
      </c>
      <c r="AC29" s="10">
        <v>12.090245113383716</v>
      </c>
      <c r="AD29" s="10">
        <v>12.705638589654946</v>
      </c>
    </row>
    <row r="30" spans="1:30" ht="15" x14ac:dyDescent="0.25">
      <c r="A30" s="6" t="s">
        <v>21</v>
      </c>
      <c r="B30" s="2">
        <v>70719.48</v>
      </c>
      <c r="C30" s="10">
        <v>1</v>
      </c>
      <c r="D30" s="10">
        <v>1.147308</v>
      </c>
      <c r="E30" s="10">
        <v>1.3120614287999999</v>
      </c>
      <c r="F30" s="10">
        <v>1.4956083261976896</v>
      </c>
      <c r="G30" s="10">
        <v>1.6992862504925959</v>
      </c>
      <c r="H30" s="10">
        <v>1.9244008958128531</v>
      </c>
      <c r="I30" s="10">
        <v>2.1722021503648827</v>
      </c>
      <c r="J30" s="10">
        <v>2.443857751289515</v>
      </c>
      <c r="K30" s="10">
        <v>2.7404247771240007</v>
      </c>
      <c r="L30" s="10">
        <v>3.0628193096039769</v>
      </c>
      <c r="M30" s="10">
        <v>3.4117846904630156</v>
      </c>
      <c r="N30" s="10">
        <v>3.787858893323373</v>
      </c>
      <c r="O30" s="10">
        <v>4.1913416226401781</v>
      </c>
      <c r="P30" s="10">
        <v>4.622261837547061</v>
      </c>
      <c r="Q30" s="10">
        <v>5.0803464746953253</v>
      </c>
      <c r="R30" s="10">
        <v>5.5649912069953604</v>
      </c>
      <c r="S30" s="10">
        <v>6.0752341207823513</v>
      </c>
      <c r="T30" s="10">
        <v>6.6097332187287821</v>
      </c>
      <c r="U30" s="10">
        <v>7.1667486565374947</v>
      </c>
      <c r="V30" s="10">
        <v>7.7441305953027824</v>
      </c>
      <c r="W30" s="10">
        <v>8.3393134963353734</v>
      </c>
      <c r="X30" s="10">
        <v>8.9493175999653136</v>
      </c>
      <c r="Y30" s="10">
        <v>9.5707582141069043</v>
      </c>
      <c r="Z30" s="10">
        <v>10.19986329303658</v>
      </c>
      <c r="AA30" s="10">
        <v>10.832499613923883</v>
      </c>
      <c r="AB30" s="10">
        <v>11.464207661409468</v>
      </c>
      <c r="AC30" s="10">
        <v>12.090245113383716</v>
      </c>
      <c r="AD30" s="10">
        <v>12.705638589654946</v>
      </c>
    </row>
    <row r="31" spans="1:30" x14ac:dyDescent="0.15">
      <c r="A31" s="2" t="s">
        <v>29</v>
      </c>
      <c r="B31" s="2">
        <v>677021.15520000004</v>
      </c>
      <c r="C31" s="10">
        <v>1</v>
      </c>
      <c r="D31" s="10">
        <v>1.147308</v>
      </c>
      <c r="E31" s="10">
        <v>1.3120614287999999</v>
      </c>
      <c r="F31" s="10">
        <v>1.4956083261976896</v>
      </c>
      <c r="G31" s="10">
        <v>1.6992862504925959</v>
      </c>
      <c r="H31" s="10">
        <v>1.9244008958128531</v>
      </c>
      <c r="I31" s="10">
        <v>2.1722021503648827</v>
      </c>
      <c r="J31" s="10">
        <v>2.443857751289515</v>
      </c>
      <c r="K31" s="10">
        <v>2.7404247771240007</v>
      </c>
      <c r="L31" s="10">
        <v>3.0628193096039769</v>
      </c>
      <c r="M31" s="10">
        <v>3.4117846904630156</v>
      </c>
      <c r="N31" s="10">
        <v>3.787858893323373</v>
      </c>
      <c r="O31" s="10">
        <v>4.1913416226401781</v>
      </c>
      <c r="P31" s="10">
        <v>4.622261837547061</v>
      </c>
      <c r="Q31" s="10">
        <v>5.0803464746953253</v>
      </c>
      <c r="R31" s="10">
        <v>5.5649912069953604</v>
      </c>
      <c r="S31" s="10">
        <v>6.0752341207823513</v>
      </c>
      <c r="T31" s="10">
        <v>6.6097332187287821</v>
      </c>
      <c r="U31" s="10">
        <v>7.1667486565374947</v>
      </c>
      <c r="V31" s="10">
        <v>7.7441305953027824</v>
      </c>
      <c r="W31" s="10">
        <v>8.3393134963353734</v>
      </c>
      <c r="X31" s="10">
        <v>8.9493175999653136</v>
      </c>
      <c r="Y31" s="10">
        <v>9.5707582141069043</v>
      </c>
      <c r="Z31" s="10">
        <v>10.19986329303658</v>
      </c>
      <c r="AA31" s="10">
        <v>10.832499613923883</v>
      </c>
      <c r="AB31" s="10">
        <v>11.464207661409468</v>
      </c>
      <c r="AC31" s="10">
        <v>12.090245113383716</v>
      </c>
      <c r="AD31" s="10">
        <v>12.705638589654946</v>
      </c>
    </row>
    <row r="32" spans="1:30" x14ac:dyDescent="0.15">
      <c r="A32" s="2" t="s">
        <v>33</v>
      </c>
      <c r="B32" s="2">
        <v>0</v>
      </c>
      <c r="C32" s="10">
        <v>1</v>
      </c>
      <c r="D32" s="10">
        <v>1.147308</v>
      </c>
      <c r="E32" s="10">
        <v>1.3120614287999999</v>
      </c>
      <c r="F32" s="10">
        <v>1.4956083261976896</v>
      </c>
      <c r="G32" s="10">
        <v>1.6992862504925959</v>
      </c>
      <c r="H32" s="10">
        <v>1.9244008958128531</v>
      </c>
      <c r="I32" s="10">
        <v>2.1722021503648827</v>
      </c>
      <c r="J32" s="10">
        <v>2.443857751289515</v>
      </c>
      <c r="K32" s="10">
        <v>2.7404247771240007</v>
      </c>
      <c r="L32" s="10">
        <v>3.0628193096039769</v>
      </c>
      <c r="M32" s="10">
        <v>3.4117846904630156</v>
      </c>
      <c r="N32" s="10">
        <v>3.787858893323373</v>
      </c>
      <c r="O32" s="10">
        <v>4.1913416226401781</v>
      </c>
      <c r="P32" s="10">
        <v>4.622261837547061</v>
      </c>
      <c r="Q32" s="10">
        <v>5.0803464746953253</v>
      </c>
      <c r="R32" s="10">
        <v>5.5649912069953604</v>
      </c>
      <c r="S32" s="10">
        <v>6.0752341207823513</v>
      </c>
      <c r="T32" s="10">
        <v>6.6097332187287821</v>
      </c>
      <c r="U32" s="10">
        <v>7.1667486565374947</v>
      </c>
      <c r="V32" s="10">
        <v>7.7441305953027824</v>
      </c>
      <c r="W32" s="10">
        <v>8.3393134963353734</v>
      </c>
      <c r="X32" s="10">
        <v>8.9493175999653136</v>
      </c>
      <c r="Y32" s="10">
        <v>9.5707582141069043</v>
      </c>
      <c r="Z32" s="10">
        <v>10.19986329303658</v>
      </c>
      <c r="AA32" s="10">
        <v>10.832499613923883</v>
      </c>
      <c r="AB32" s="10">
        <v>11.464207661409468</v>
      </c>
      <c r="AC32" s="10">
        <v>12.090245113383716</v>
      </c>
      <c r="AD32" s="10">
        <v>12.705638589654946</v>
      </c>
    </row>
    <row r="34" spans="1:1" ht="15" x14ac:dyDescent="0.25">
      <c r="A34" s="6"/>
    </row>
    <row r="35" spans="1:1" ht="15" x14ac:dyDescent="0.25">
      <c r="A35" s="6"/>
    </row>
    <row r="36" spans="1:1" ht="15" x14ac:dyDescent="0.25">
      <c r="A36" s="6"/>
    </row>
    <row r="37" spans="1:1" ht="15" x14ac:dyDescent="0.25">
      <c r="A37" s="6"/>
    </row>
    <row r="38" spans="1:1" ht="15" x14ac:dyDescent="0.25">
      <c r="A38" s="6"/>
    </row>
    <row r="39" spans="1:1" ht="15" x14ac:dyDescent="0.25">
      <c r="A39" s="6"/>
    </row>
    <row r="40" spans="1:1" ht="15" x14ac:dyDescent="0.25">
      <c r="A40" s="6"/>
    </row>
    <row r="41" spans="1:1" ht="15" x14ac:dyDescent="0.25">
      <c r="A41" s="6"/>
    </row>
    <row r="42" spans="1:1" ht="15" x14ac:dyDescent="0.25">
      <c r="A42" s="6"/>
    </row>
    <row r="43" spans="1:1" ht="15" x14ac:dyDescent="0.25">
      <c r="A43" s="6"/>
    </row>
    <row r="44" spans="1:1" ht="15" x14ac:dyDescent="0.25">
      <c r="A44" s="6"/>
    </row>
    <row r="45" spans="1:1" ht="15" x14ac:dyDescent="0.25">
      <c r="A45" s="6"/>
    </row>
    <row r="46" spans="1:1" ht="15" x14ac:dyDescent="0.25">
      <c r="A46" s="6"/>
    </row>
    <row r="47" spans="1:1" ht="15" x14ac:dyDescent="0.25">
      <c r="A47" s="6"/>
    </row>
    <row r="48" spans="1:1" ht="15" x14ac:dyDescent="0.25">
      <c r="A48" s="6"/>
    </row>
    <row r="49" spans="1:1" ht="15" x14ac:dyDescent="0.25">
      <c r="A49" s="6"/>
    </row>
    <row r="50" spans="1:1" ht="15" x14ac:dyDescent="0.25">
      <c r="A50" s="6"/>
    </row>
    <row r="51" spans="1:1" ht="15" x14ac:dyDescent="0.25">
      <c r="A51" s="6"/>
    </row>
    <row r="52" spans="1:1" ht="15" x14ac:dyDescent="0.25">
      <c r="A52" s="6"/>
    </row>
    <row r="53" spans="1:1" ht="15" x14ac:dyDescent="0.25">
      <c r="A53" s="6"/>
    </row>
    <row r="54" spans="1:1" ht="15" x14ac:dyDescent="0.25">
      <c r="A54" s="6"/>
    </row>
    <row r="55" spans="1:1" ht="15" x14ac:dyDescent="0.25">
      <c r="A55" s="6"/>
    </row>
    <row r="56" spans="1:1" ht="15" x14ac:dyDescent="0.25">
      <c r="A56" s="6"/>
    </row>
    <row r="57" spans="1:1" ht="15" x14ac:dyDescent="0.25">
      <c r="A57" s="6"/>
    </row>
    <row r="58" spans="1:1" ht="15" x14ac:dyDescent="0.25">
      <c r="A58" s="6"/>
    </row>
    <row r="59" spans="1:1" ht="15" x14ac:dyDescent="0.25">
      <c r="A59" s="6"/>
    </row>
    <row r="60" spans="1:1" ht="15" x14ac:dyDescent="0.25">
      <c r="A60" s="6"/>
    </row>
    <row r="61" spans="1:1" ht="15" x14ac:dyDescent="0.25">
      <c r="A61" s="6"/>
    </row>
    <row r="62" spans="1:1" ht="15" x14ac:dyDescent="0.25">
      <c r="A62" s="6"/>
    </row>
    <row r="63" spans="1:1" ht="15" x14ac:dyDescent="0.25">
      <c r="A63" s="6"/>
    </row>
    <row r="64" spans="1:1" ht="15" x14ac:dyDescent="0.25">
      <c r="A64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FFF3-0058-403F-8EC1-04B1C3496995}">
  <dimension ref="A1:AD64"/>
  <sheetViews>
    <sheetView zoomScaleNormal="100" workbookViewId="0"/>
  </sheetViews>
  <sheetFormatPr defaultRowHeight="13.5" x14ac:dyDescent="0.15"/>
  <cols>
    <col min="2" max="2" width="13.125" customWidth="1"/>
  </cols>
  <sheetData>
    <row r="1" spans="1:30" x14ac:dyDescent="0.15">
      <c r="A1" s="3"/>
      <c r="B1" s="3" t="s">
        <v>34</v>
      </c>
      <c r="C1" s="3">
        <v>2023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</row>
    <row r="2" spans="1:30" x14ac:dyDescent="0.15">
      <c r="A2" s="2" t="s">
        <v>4</v>
      </c>
      <c r="B2" s="2">
        <v>11890329.720328802</v>
      </c>
      <c r="C2" s="10">
        <v>1</v>
      </c>
      <c r="D2" s="10">
        <v>1.191988</v>
      </c>
      <c r="E2" s="10">
        <v>1.4140553644</v>
      </c>
      <c r="F2" s="10">
        <v>1.6694507318750129</v>
      </c>
      <c r="G2" s="10">
        <v>1.9614777316975178</v>
      </c>
      <c r="H2" s="10">
        <v>2.2934303770990789</v>
      </c>
      <c r="I2" s="10">
        <v>2.668516328412879</v>
      </c>
      <c r="J2" s="10">
        <v>3.0897683160161358</v>
      </c>
      <c r="K2" s="10">
        <v>3.5599445402009433</v>
      </c>
      <c r="L2" s="10">
        <v>4.0814194562277386</v>
      </c>
      <c r="M2" s="10">
        <v>4.6560669899867788</v>
      </c>
      <c r="N2" s="10">
        <v>5.2851388888699127</v>
      </c>
      <c r="O2" s="10">
        <v>5.9691415638674572</v>
      </c>
      <c r="P2" s="10">
        <v>6.7077153878479052</v>
      </c>
      <c r="Q2" s="10">
        <v>7.4995209430910235</v>
      </c>
      <c r="R2" s="10">
        <v>8.3421371181729587</v>
      </c>
      <c r="S2" s="10">
        <v>9.2319762002942323</v>
      </c>
      <c r="T2" s="10">
        <v>10.164221156999945</v>
      </c>
      <c r="U2" s="10">
        <v>11.132790119492784</v>
      </c>
      <c r="V2" s="10">
        <v>12.130332645359815</v>
      </c>
      <c r="W2" s="10">
        <v>13.14826163962783</v>
      </c>
      <c r="X2" s="10">
        <v>14.176823851172635</v>
      </c>
      <c r="Y2" s="10">
        <v>15.2052106533367</v>
      </c>
      <c r="Z2" s="10">
        <v>16.221709395933562</v>
      </c>
      <c r="AA2" s="10">
        <v>17.213894029426442</v>
      </c>
      <c r="AB2" s="10">
        <v>18.168852014602905</v>
      </c>
      <c r="AC2" s="10">
        <v>19.073442818705953</v>
      </c>
      <c r="AD2" s="10">
        <v>19.914581647010888</v>
      </c>
    </row>
    <row r="3" spans="1:30" x14ac:dyDescent="0.15">
      <c r="A3" s="2" t="s">
        <v>28</v>
      </c>
      <c r="B3" s="2">
        <v>1469992.0839551997</v>
      </c>
      <c r="C3" s="10">
        <v>1</v>
      </c>
      <c r="D3" s="10">
        <v>1.191988</v>
      </c>
      <c r="E3" s="10">
        <v>1.4140553644</v>
      </c>
      <c r="F3" s="10">
        <v>1.6694507318750129</v>
      </c>
      <c r="G3" s="10">
        <v>1.9614777316975178</v>
      </c>
      <c r="H3" s="10">
        <v>2.2934303770990789</v>
      </c>
      <c r="I3" s="10">
        <v>2.668516328412879</v>
      </c>
      <c r="J3" s="10">
        <v>3.0897683160161358</v>
      </c>
      <c r="K3" s="10">
        <v>3.5599445402009433</v>
      </c>
      <c r="L3" s="10">
        <v>4.0814194562277386</v>
      </c>
      <c r="M3" s="10">
        <v>4.6560669899867788</v>
      </c>
      <c r="N3" s="10">
        <v>5.2851388888699127</v>
      </c>
      <c r="O3" s="10">
        <v>5.9691415638674572</v>
      </c>
      <c r="P3" s="10">
        <v>6.7077153878479052</v>
      </c>
      <c r="Q3" s="10">
        <v>7.4995209430910235</v>
      </c>
      <c r="R3" s="10">
        <v>8.3421371181729587</v>
      </c>
      <c r="S3" s="10">
        <v>9.2319762002942323</v>
      </c>
      <c r="T3" s="10">
        <v>10.164221156999945</v>
      </c>
      <c r="U3" s="10">
        <v>11.132790119492784</v>
      </c>
      <c r="V3" s="10">
        <v>12.130332645359815</v>
      </c>
      <c r="W3" s="10">
        <v>13.14826163962783</v>
      </c>
      <c r="X3" s="10">
        <v>14.176823851172635</v>
      </c>
      <c r="Y3" s="10">
        <v>15.2052106533367</v>
      </c>
      <c r="Z3" s="10">
        <v>16.221709395933562</v>
      </c>
      <c r="AA3" s="10">
        <v>17.213894029426442</v>
      </c>
      <c r="AB3" s="10">
        <v>18.168852014602905</v>
      </c>
      <c r="AC3" s="10">
        <v>19.073442818705953</v>
      </c>
      <c r="AD3" s="10">
        <v>19.914581647010888</v>
      </c>
    </row>
    <row r="4" spans="1:30" x14ac:dyDescent="0.15">
      <c r="A4" s="2" t="s">
        <v>12</v>
      </c>
      <c r="B4" s="2">
        <v>6715804.6987200007</v>
      </c>
      <c r="C4" s="10">
        <v>1</v>
      </c>
      <c r="D4" s="10">
        <v>1.191988</v>
      </c>
      <c r="E4" s="10">
        <v>1.4140553644</v>
      </c>
      <c r="F4" s="10">
        <v>1.6694507318750129</v>
      </c>
      <c r="G4" s="10">
        <v>1.9614777316975178</v>
      </c>
      <c r="H4" s="10">
        <v>2.2934303770990789</v>
      </c>
      <c r="I4" s="10">
        <v>2.668516328412879</v>
      </c>
      <c r="J4" s="10">
        <v>3.0897683160161358</v>
      </c>
      <c r="K4" s="10">
        <v>3.5599445402009433</v>
      </c>
      <c r="L4" s="10">
        <v>4.0814194562277386</v>
      </c>
      <c r="M4" s="10">
        <v>4.6560669899867788</v>
      </c>
      <c r="N4" s="10">
        <v>5.2851388888699127</v>
      </c>
      <c r="O4" s="10">
        <v>5.9691415638674572</v>
      </c>
      <c r="P4" s="10">
        <v>6.7077153878479052</v>
      </c>
      <c r="Q4" s="10">
        <v>7.4995209430910235</v>
      </c>
      <c r="R4" s="10">
        <v>8.3421371181729587</v>
      </c>
      <c r="S4" s="10">
        <v>9.2319762002942323</v>
      </c>
      <c r="T4" s="10">
        <v>10.164221156999945</v>
      </c>
      <c r="U4" s="10">
        <v>11.132790119492784</v>
      </c>
      <c r="V4" s="10">
        <v>12.130332645359815</v>
      </c>
      <c r="W4" s="10">
        <v>13.14826163962783</v>
      </c>
      <c r="X4" s="10">
        <v>14.176823851172635</v>
      </c>
      <c r="Y4" s="10">
        <v>15.2052106533367</v>
      </c>
      <c r="Z4" s="10">
        <v>16.221709395933562</v>
      </c>
      <c r="AA4" s="10">
        <v>17.213894029426442</v>
      </c>
      <c r="AB4" s="10">
        <v>18.168852014602905</v>
      </c>
      <c r="AC4" s="10">
        <v>19.073442818705953</v>
      </c>
      <c r="AD4" s="10">
        <v>19.914581647010888</v>
      </c>
    </row>
    <row r="5" spans="1:30" x14ac:dyDescent="0.15">
      <c r="A5" s="2" t="s">
        <v>26</v>
      </c>
      <c r="B5" s="2">
        <v>240258.87252431997</v>
      </c>
      <c r="C5" s="10">
        <v>1</v>
      </c>
      <c r="D5" s="10">
        <v>1.191988</v>
      </c>
      <c r="E5" s="10">
        <v>1.4140553644</v>
      </c>
      <c r="F5" s="10">
        <v>1.6694507318750129</v>
      </c>
      <c r="G5" s="10">
        <v>1.9614777316975178</v>
      </c>
      <c r="H5" s="10">
        <v>2.2934303770990789</v>
      </c>
      <c r="I5" s="10">
        <v>2.668516328412879</v>
      </c>
      <c r="J5" s="10">
        <v>3.0897683160161358</v>
      </c>
      <c r="K5" s="10">
        <v>3.5599445402009433</v>
      </c>
      <c r="L5" s="10">
        <v>4.0814194562277386</v>
      </c>
      <c r="M5" s="10">
        <v>4.6560669899867788</v>
      </c>
      <c r="N5" s="10">
        <v>5.2851388888699127</v>
      </c>
      <c r="O5" s="10">
        <v>5.9691415638674572</v>
      </c>
      <c r="P5" s="10">
        <v>6.7077153878479052</v>
      </c>
      <c r="Q5" s="10">
        <v>7.4995209430910235</v>
      </c>
      <c r="R5" s="10">
        <v>8.3421371181729587</v>
      </c>
      <c r="S5" s="10">
        <v>9.2319762002942323</v>
      </c>
      <c r="T5" s="10">
        <v>10.164221156999945</v>
      </c>
      <c r="U5" s="10">
        <v>11.132790119492784</v>
      </c>
      <c r="V5" s="10">
        <v>12.130332645359815</v>
      </c>
      <c r="W5" s="10">
        <v>13.14826163962783</v>
      </c>
      <c r="X5" s="10">
        <v>14.176823851172635</v>
      </c>
      <c r="Y5" s="10">
        <v>15.2052106533367</v>
      </c>
      <c r="Z5" s="10">
        <v>16.221709395933562</v>
      </c>
      <c r="AA5" s="10">
        <v>17.213894029426442</v>
      </c>
      <c r="AB5" s="10">
        <v>18.168852014602905</v>
      </c>
      <c r="AC5" s="10">
        <v>19.073442818705953</v>
      </c>
      <c r="AD5" s="10">
        <v>19.914581647010888</v>
      </c>
    </row>
    <row r="6" spans="1:30" x14ac:dyDescent="0.15">
      <c r="A6" s="2" t="s">
        <v>32</v>
      </c>
      <c r="B6" s="2">
        <v>347638.10515199997</v>
      </c>
      <c r="C6" s="10">
        <v>1</v>
      </c>
      <c r="D6" s="10">
        <v>1.191988</v>
      </c>
      <c r="E6" s="10">
        <v>1.4140553644</v>
      </c>
      <c r="F6" s="10">
        <v>1.6694507318750129</v>
      </c>
      <c r="G6" s="10">
        <v>1.9614777316975178</v>
      </c>
      <c r="H6" s="10">
        <v>2.2934303770990789</v>
      </c>
      <c r="I6" s="10">
        <v>2.668516328412879</v>
      </c>
      <c r="J6" s="10">
        <v>3.0897683160161358</v>
      </c>
      <c r="K6" s="10">
        <v>3.5599445402009433</v>
      </c>
      <c r="L6" s="10">
        <v>4.0814194562277386</v>
      </c>
      <c r="M6" s="10">
        <v>4.6560669899867788</v>
      </c>
      <c r="N6" s="10">
        <v>5.2851388888699127</v>
      </c>
      <c r="O6" s="10">
        <v>5.9691415638674572</v>
      </c>
      <c r="P6" s="10">
        <v>6.7077153878479052</v>
      </c>
      <c r="Q6" s="10">
        <v>7.4995209430910235</v>
      </c>
      <c r="R6" s="10">
        <v>8.3421371181729587</v>
      </c>
      <c r="S6" s="10">
        <v>9.2319762002942323</v>
      </c>
      <c r="T6" s="10">
        <v>10.164221156999945</v>
      </c>
      <c r="U6" s="10">
        <v>11.132790119492784</v>
      </c>
      <c r="V6" s="10">
        <v>12.130332645359815</v>
      </c>
      <c r="W6" s="10">
        <v>13.14826163962783</v>
      </c>
      <c r="X6" s="10">
        <v>14.176823851172635</v>
      </c>
      <c r="Y6" s="10">
        <v>15.2052106533367</v>
      </c>
      <c r="Z6" s="10">
        <v>16.221709395933562</v>
      </c>
      <c r="AA6" s="10">
        <v>17.213894029426442</v>
      </c>
      <c r="AB6" s="10">
        <v>18.168852014602905</v>
      </c>
      <c r="AC6" s="10">
        <v>19.073442818705953</v>
      </c>
      <c r="AD6" s="10">
        <v>19.914581647010888</v>
      </c>
    </row>
    <row r="7" spans="1:30" x14ac:dyDescent="0.15">
      <c r="A7" s="2" t="s">
        <v>20</v>
      </c>
      <c r="B7" s="2">
        <v>873036.69523200009</v>
      </c>
      <c r="C7" s="10">
        <v>1</v>
      </c>
      <c r="D7" s="10">
        <v>1.191988</v>
      </c>
      <c r="E7" s="10">
        <v>1.4140553644</v>
      </c>
      <c r="F7" s="10">
        <v>1.6694507318750129</v>
      </c>
      <c r="G7" s="10">
        <v>1.9614777316975178</v>
      </c>
      <c r="H7" s="10">
        <v>2.2934303770990789</v>
      </c>
      <c r="I7" s="10">
        <v>2.668516328412879</v>
      </c>
      <c r="J7" s="10">
        <v>3.0897683160161358</v>
      </c>
      <c r="K7" s="10">
        <v>3.5599445402009433</v>
      </c>
      <c r="L7" s="10">
        <v>4.0814194562277386</v>
      </c>
      <c r="M7" s="10">
        <v>4.6560669899867788</v>
      </c>
      <c r="N7" s="10">
        <v>5.2851388888699127</v>
      </c>
      <c r="O7" s="10">
        <v>5.9691415638674572</v>
      </c>
      <c r="P7" s="10">
        <v>6.7077153878479052</v>
      </c>
      <c r="Q7" s="10">
        <v>7.4995209430910235</v>
      </c>
      <c r="R7" s="10">
        <v>8.3421371181729587</v>
      </c>
      <c r="S7" s="10">
        <v>9.2319762002942323</v>
      </c>
      <c r="T7" s="10">
        <v>10.164221156999945</v>
      </c>
      <c r="U7" s="10">
        <v>11.132790119492784</v>
      </c>
      <c r="V7" s="10">
        <v>12.130332645359815</v>
      </c>
      <c r="W7" s="10">
        <v>13.14826163962783</v>
      </c>
      <c r="X7" s="10">
        <v>14.176823851172635</v>
      </c>
      <c r="Y7" s="10">
        <v>15.2052106533367</v>
      </c>
      <c r="Z7" s="10">
        <v>16.221709395933562</v>
      </c>
      <c r="AA7" s="10">
        <v>17.213894029426442</v>
      </c>
      <c r="AB7" s="10">
        <v>18.168852014602905</v>
      </c>
      <c r="AC7" s="10">
        <v>19.073442818705953</v>
      </c>
      <c r="AD7" s="10">
        <v>19.914581647010888</v>
      </c>
    </row>
    <row r="8" spans="1:30" x14ac:dyDescent="0.15">
      <c r="A8" s="2" t="s">
        <v>19</v>
      </c>
      <c r="B8" s="2">
        <v>397575.48729600001</v>
      </c>
      <c r="C8" s="10">
        <v>1</v>
      </c>
      <c r="D8" s="10">
        <v>1.191988</v>
      </c>
      <c r="E8" s="10">
        <v>1.4140553644</v>
      </c>
      <c r="F8" s="10">
        <v>1.6694507318750129</v>
      </c>
      <c r="G8" s="10">
        <v>1.9614777316975178</v>
      </c>
      <c r="H8" s="10">
        <v>2.2934303770990789</v>
      </c>
      <c r="I8" s="10">
        <v>2.668516328412879</v>
      </c>
      <c r="J8" s="10">
        <v>3.0897683160161358</v>
      </c>
      <c r="K8" s="10">
        <v>3.5599445402009433</v>
      </c>
      <c r="L8" s="10">
        <v>4.0814194562277386</v>
      </c>
      <c r="M8" s="10">
        <v>4.6560669899867788</v>
      </c>
      <c r="N8" s="10">
        <v>5.2851388888699127</v>
      </c>
      <c r="O8" s="10">
        <v>5.9691415638674572</v>
      </c>
      <c r="P8" s="10">
        <v>6.7077153878479052</v>
      </c>
      <c r="Q8" s="10">
        <v>7.4995209430910235</v>
      </c>
      <c r="R8" s="10">
        <v>8.3421371181729587</v>
      </c>
      <c r="S8" s="10">
        <v>9.2319762002942323</v>
      </c>
      <c r="T8" s="10">
        <v>10.164221156999945</v>
      </c>
      <c r="U8" s="10">
        <v>11.132790119492784</v>
      </c>
      <c r="V8" s="10">
        <v>12.130332645359815</v>
      </c>
      <c r="W8" s="10">
        <v>13.14826163962783</v>
      </c>
      <c r="X8" s="10">
        <v>14.176823851172635</v>
      </c>
      <c r="Y8" s="10">
        <v>15.2052106533367</v>
      </c>
      <c r="Z8" s="10">
        <v>16.221709395933562</v>
      </c>
      <c r="AA8" s="10">
        <v>17.213894029426442</v>
      </c>
      <c r="AB8" s="10">
        <v>18.168852014602905</v>
      </c>
      <c r="AC8" s="10">
        <v>19.073442818705953</v>
      </c>
      <c r="AD8" s="10">
        <v>19.914581647010888</v>
      </c>
    </row>
    <row r="9" spans="1:30" x14ac:dyDescent="0.15">
      <c r="A9" s="2" t="s">
        <v>13</v>
      </c>
      <c r="B9" s="2">
        <v>897631.00680614391</v>
      </c>
      <c r="C9" s="10">
        <v>1</v>
      </c>
      <c r="D9" s="10">
        <v>1.191988</v>
      </c>
      <c r="E9" s="10">
        <v>1.4140553644</v>
      </c>
      <c r="F9" s="10">
        <v>1.6694507318750129</v>
      </c>
      <c r="G9" s="10">
        <v>1.9614777316975178</v>
      </c>
      <c r="H9" s="10">
        <v>2.2934303770990789</v>
      </c>
      <c r="I9" s="10">
        <v>2.668516328412879</v>
      </c>
      <c r="J9" s="10">
        <v>3.0897683160161358</v>
      </c>
      <c r="K9" s="10">
        <v>3.5599445402009433</v>
      </c>
      <c r="L9" s="10">
        <v>4.0814194562277386</v>
      </c>
      <c r="M9" s="10">
        <v>4.6560669899867788</v>
      </c>
      <c r="N9" s="10">
        <v>5.2851388888699127</v>
      </c>
      <c r="O9" s="10">
        <v>5.9691415638674572</v>
      </c>
      <c r="P9" s="10">
        <v>6.7077153878479052</v>
      </c>
      <c r="Q9" s="10">
        <v>7.4995209430910235</v>
      </c>
      <c r="R9" s="10">
        <v>8.3421371181729587</v>
      </c>
      <c r="S9" s="10">
        <v>9.2319762002942323</v>
      </c>
      <c r="T9" s="10">
        <v>10.164221156999945</v>
      </c>
      <c r="U9" s="10">
        <v>11.132790119492784</v>
      </c>
      <c r="V9" s="10">
        <v>12.130332645359815</v>
      </c>
      <c r="W9" s="10">
        <v>13.14826163962783</v>
      </c>
      <c r="X9" s="10">
        <v>14.176823851172635</v>
      </c>
      <c r="Y9" s="10">
        <v>15.2052106533367</v>
      </c>
      <c r="Z9" s="10">
        <v>16.221709395933562</v>
      </c>
      <c r="AA9" s="10">
        <v>17.213894029426442</v>
      </c>
      <c r="AB9" s="10">
        <v>18.168852014602905</v>
      </c>
      <c r="AC9" s="10">
        <v>19.073442818705953</v>
      </c>
      <c r="AD9" s="10">
        <v>19.914581647010888</v>
      </c>
    </row>
    <row r="10" spans="1:30" x14ac:dyDescent="0.15">
      <c r="A10" s="2" t="s">
        <v>25</v>
      </c>
      <c r="B10" s="2">
        <v>5994275.5315871993</v>
      </c>
      <c r="C10" s="10">
        <v>1</v>
      </c>
      <c r="D10" s="10">
        <v>1.191988</v>
      </c>
      <c r="E10" s="10">
        <v>1.4140553644</v>
      </c>
      <c r="F10" s="10">
        <v>1.6694507318750129</v>
      </c>
      <c r="G10" s="10">
        <v>1.9614777316975178</v>
      </c>
      <c r="H10" s="10">
        <v>2.2934303770990789</v>
      </c>
      <c r="I10" s="10">
        <v>2.668516328412879</v>
      </c>
      <c r="J10" s="10">
        <v>3.0897683160161358</v>
      </c>
      <c r="K10" s="10">
        <v>3.5599445402009433</v>
      </c>
      <c r="L10" s="10">
        <v>4.0814194562277386</v>
      </c>
      <c r="M10" s="10">
        <v>4.6560669899867788</v>
      </c>
      <c r="N10" s="10">
        <v>5.2851388888699127</v>
      </c>
      <c r="O10" s="10">
        <v>5.9691415638674572</v>
      </c>
      <c r="P10" s="10">
        <v>6.7077153878479052</v>
      </c>
      <c r="Q10" s="10">
        <v>7.4995209430910235</v>
      </c>
      <c r="R10" s="10">
        <v>8.3421371181729587</v>
      </c>
      <c r="S10" s="10">
        <v>9.2319762002942323</v>
      </c>
      <c r="T10" s="10">
        <v>10.164221156999945</v>
      </c>
      <c r="U10" s="10">
        <v>11.132790119492784</v>
      </c>
      <c r="V10" s="10">
        <v>12.130332645359815</v>
      </c>
      <c r="W10" s="10">
        <v>13.14826163962783</v>
      </c>
      <c r="X10" s="10">
        <v>14.176823851172635</v>
      </c>
      <c r="Y10" s="10">
        <v>15.2052106533367</v>
      </c>
      <c r="Z10" s="10">
        <v>16.221709395933562</v>
      </c>
      <c r="AA10" s="10">
        <v>17.213894029426442</v>
      </c>
      <c r="AB10" s="10">
        <v>18.168852014602905</v>
      </c>
      <c r="AC10" s="10">
        <v>19.073442818705953</v>
      </c>
      <c r="AD10" s="10">
        <v>19.914581647010888</v>
      </c>
    </row>
    <row r="11" spans="1:30" x14ac:dyDescent="0.15">
      <c r="A11" s="2" t="s">
        <v>17</v>
      </c>
      <c r="B11" s="2">
        <v>5885112.7457899209</v>
      </c>
      <c r="C11" s="10">
        <v>1</v>
      </c>
      <c r="D11" s="10">
        <v>1.191988</v>
      </c>
      <c r="E11" s="10">
        <v>1.4140553644</v>
      </c>
      <c r="F11" s="10">
        <v>1.6694507318750129</v>
      </c>
      <c r="G11" s="10">
        <v>1.9614777316975178</v>
      </c>
      <c r="H11" s="10">
        <v>2.2934303770990789</v>
      </c>
      <c r="I11" s="10">
        <v>2.668516328412879</v>
      </c>
      <c r="J11" s="10">
        <v>3.0897683160161358</v>
      </c>
      <c r="K11" s="10">
        <v>3.5599445402009433</v>
      </c>
      <c r="L11" s="10">
        <v>4.0814194562277386</v>
      </c>
      <c r="M11" s="10">
        <v>4.6560669899867788</v>
      </c>
      <c r="N11" s="10">
        <v>5.2851388888699127</v>
      </c>
      <c r="O11" s="10">
        <v>5.9691415638674572</v>
      </c>
      <c r="P11" s="10">
        <v>6.7077153878479052</v>
      </c>
      <c r="Q11" s="10">
        <v>7.4995209430910235</v>
      </c>
      <c r="R11" s="10">
        <v>8.3421371181729587</v>
      </c>
      <c r="S11" s="10">
        <v>9.2319762002942323</v>
      </c>
      <c r="T11" s="10">
        <v>10.164221156999945</v>
      </c>
      <c r="U11" s="10">
        <v>11.132790119492784</v>
      </c>
      <c r="V11" s="10">
        <v>12.130332645359815</v>
      </c>
      <c r="W11" s="10">
        <v>13.14826163962783</v>
      </c>
      <c r="X11" s="10">
        <v>14.176823851172635</v>
      </c>
      <c r="Y11" s="10">
        <v>15.2052106533367</v>
      </c>
      <c r="Z11" s="10">
        <v>16.221709395933562</v>
      </c>
      <c r="AA11" s="10">
        <v>17.213894029426442</v>
      </c>
      <c r="AB11" s="10">
        <v>18.168852014602905</v>
      </c>
      <c r="AC11" s="10">
        <v>19.073442818705953</v>
      </c>
      <c r="AD11" s="10">
        <v>19.914581647010888</v>
      </c>
    </row>
    <row r="12" spans="1:30" x14ac:dyDescent="0.15">
      <c r="A12" s="2" t="s">
        <v>31</v>
      </c>
      <c r="B12" s="2">
        <v>2265259.3731263997</v>
      </c>
      <c r="C12" s="10">
        <v>1</v>
      </c>
      <c r="D12" s="10">
        <v>1.191988</v>
      </c>
      <c r="E12" s="10">
        <v>1.4140553644</v>
      </c>
      <c r="F12" s="10">
        <v>1.6694507318750129</v>
      </c>
      <c r="G12" s="10">
        <v>1.9614777316975178</v>
      </c>
      <c r="H12" s="10">
        <v>2.2934303770990789</v>
      </c>
      <c r="I12" s="10">
        <v>2.668516328412879</v>
      </c>
      <c r="J12" s="10">
        <v>3.0897683160161358</v>
      </c>
      <c r="K12" s="10">
        <v>3.5599445402009433</v>
      </c>
      <c r="L12" s="10">
        <v>4.0814194562277386</v>
      </c>
      <c r="M12" s="10">
        <v>4.6560669899867788</v>
      </c>
      <c r="N12" s="10">
        <v>5.2851388888699127</v>
      </c>
      <c r="O12" s="10">
        <v>5.9691415638674572</v>
      </c>
      <c r="P12" s="10">
        <v>6.7077153878479052</v>
      </c>
      <c r="Q12" s="10">
        <v>7.4995209430910235</v>
      </c>
      <c r="R12" s="10">
        <v>8.3421371181729587</v>
      </c>
      <c r="S12" s="10">
        <v>9.2319762002942323</v>
      </c>
      <c r="T12" s="10">
        <v>10.164221156999945</v>
      </c>
      <c r="U12" s="10">
        <v>11.132790119492784</v>
      </c>
      <c r="V12" s="10">
        <v>12.130332645359815</v>
      </c>
      <c r="W12" s="10">
        <v>13.14826163962783</v>
      </c>
      <c r="X12" s="10">
        <v>14.176823851172635</v>
      </c>
      <c r="Y12" s="10">
        <v>15.2052106533367</v>
      </c>
      <c r="Z12" s="10">
        <v>16.221709395933562</v>
      </c>
      <c r="AA12" s="10">
        <v>17.213894029426442</v>
      </c>
      <c r="AB12" s="10">
        <v>18.168852014602905</v>
      </c>
      <c r="AC12" s="10">
        <v>19.073442818705953</v>
      </c>
      <c r="AD12" s="10">
        <v>19.914581647010888</v>
      </c>
    </row>
    <row r="13" spans="1:30" x14ac:dyDescent="0.15">
      <c r="A13" s="2" t="s">
        <v>0</v>
      </c>
      <c r="B13" s="2">
        <v>4023117.6888614399</v>
      </c>
      <c r="C13" s="10">
        <v>1</v>
      </c>
      <c r="D13" s="10">
        <v>1.191988</v>
      </c>
      <c r="E13" s="10">
        <v>1.4140553644</v>
      </c>
      <c r="F13" s="10">
        <v>1.6694507318750129</v>
      </c>
      <c r="G13" s="10">
        <v>1.9614777316975178</v>
      </c>
      <c r="H13" s="10">
        <v>2.2934303770990789</v>
      </c>
      <c r="I13" s="10">
        <v>2.668516328412879</v>
      </c>
      <c r="J13" s="10">
        <v>3.0897683160161358</v>
      </c>
      <c r="K13" s="10">
        <v>3.5599445402009433</v>
      </c>
      <c r="L13" s="10">
        <v>4.0814194562277386</v>
      </c>
      <c r="M13" s="10">
        <v>4.6560669899867788</v>
      </c>
      <c r="N13" s="10">
        <v>5.2851388888699127</v>
      </c>
      <c r="O13" s="10">
        <v>5.9691415638674572</v>
      </c>
      <c r="P13" s="10">
        <v>6.7077153878479052</v>
      </c>
      <c r="Q13" s="10">
        <v>7.4995209430910235</v>
      </c>
      <c r="R13" s="10">
        <v>8.3421371181729587</v>
      </c>
      <c r="S13" s="10">
        <v>9.2319762002942323</v>
      </c>
      <c r="T13" s="10">
        <v>10.164221156999945</v>
      </c>
      <c r="U13" s="10">
        <v>11.132790119492784</v>
      </c>
      <c r="V13" s="10">
        <v>12.130332645359815</v>
      </c>
      <c r="W13" s="10">
        <v>13.14826163962783</v>
      </c>
      <c r="X13" s="10">
        <v>14.176823851172635</v>
      </c>
      <c r="Y13" s="10">
        <v>15.2052106533367</v>
      </c>
      <c r="Z13" s="10">
        <v>16.221709395933562</v>
      </c>
      <c r="AA13" s="10">
        <v>17.213894029426442</v>
      </c>
      <c r="AB13" s="10">
        <v>18.168852014602905</v>
      </c>
      <c r="AC13" s="10">
        <v>19.073442818705953</v>
      </c>
      <c r="AD13" s="10">
        <v>19.914581647010888</v>
      </c>
    </row>
    <row r="14" spans="1:30" x14ac:dyDescent="0.15">
      <c r="A14" s="2" t="s">
        <v>6</v>
      </c>
      <c r="B14" s="2">
        <v>2629416.2712479993</v>
      </c>
      <c r="C14" s="10">
        <v>1</v>
      </c>
      <c r="D14" s="10">
        <v>1.191988</v>
      </c>
      <c r="E14" s="10">
        <v>1.4140553644</v>
      </c>
      <c r="F14" s="10">
        <v>1.6694507318750129</v>
      </c>
      <c r="G14" s="10">
        <v>1.9614777316975178</v>
      </c>
      <c r="H14" s="10">
        <v>2.2934303770990789</v>
      </c>
      <c r="I14" s="10">
        <v>2.668516328412879</v>
      </c>
      <c r="J14" s="10">
        <v>3.0897683160161358</v>
      </c>
      <c r="K14" s="10">
        <v>3.5599445402009433</v>
      </c>
      <c r="L14" s="10">
        <v>4.0814194562277386</v>
      </c>
      <c r="M14" s="10">
        <v>4.6560669899867788</v>
      </c>
      <c r="N14" s="10">
        <v>5.2851388888699127</v>
      </c>
      <c r="O14" s="10">
        <v>5.9691415638674572</v>
      </c>
      <c r="P14" s="10">
        <v>6.7077153878479052</v>
      </c>
      <c r="Q14" s="10">
        <v>7.4995209430910235</v>
      </c>
      <c r="R14" s="10">
        <v>8.3421371181729587</v>
      </c>
      <c r="S14" s="10">
        <v>9.2319762002942323</v>
      </c>
      <c r="T14" s="10">
        <v>10.164221156999945</v>
      </c>
      <c r="U14" s="10">
        <v>11.132790119492784</v>
      </c>
      <c r="V14" s="10">
        <v>12.130332645359815</v>
      </c>
      <c r="W14" s="10">
        <v>13.14826163962783</v>
      </c>
      <c r="X14" s="10">
        <v>14.176823851172635</v>
      </c>
      <c r="Y14" s="10">
        <v>15.2052106533367</v>
      </c>
      <c r="Z14" s="10">
        <v>16.221709395933562</v>
      </c>
      <c r="AA14" s="10">
        <v>17.213894029426442</v>
      </c>
      <c r="AB14" s="10">
        <v>18.168852014602905</v>
      </c>
      <c r="AC14" s="10">
        <v>19.073442818705953</v>
      </c>
      <c r="AD14" s="10">
        <v>19.914581647010888</v>
      </c>
    </row>
    <row r="15" spans="1:30" x14ac:dyDescent="0.15">
      <c r="A15" s="2" t="s">
        <v>18</v>
      </c>
      <c r="B15" s="2">
        <v>991800.16116479994</v>
      </c>
      <c r="C15" s="10">
        <v>1</v>
      </c>
      <c r="D15" s="10">
        <v>1.191988</v>
      </c>
      <c r="E15" s="10">
        <v>1.4140553644</v>
      </c>
      <c r="F15" s="10">
        <v>1.6694507318750129</v>
      </c>
      <c r="G15" s="10">
        <v>1.9614777316975178</v>
      </c>
      <c r="H15" s="10">
        <v>2.2934303770990789</v>
      </c>
      <c r="I15" s="10">
        <v>2.668516328412879</v>
      </c>
      <c r="J15" s="10">
        <v>3.0897683160161358</v>
      </c>
      <c r="K15" s="10">
        <v>3.5599445402009433</v>
      </c>
      <c r="L15" s="10">
        <v>4.0814194562277386</v>
      </c>
      <c r="M15" s="10">
        <v>4.6560669899867788</v>
      </c>
      <c r="N15" s="10">
        <v>5.2851388888699127</v>
      </c>
      <c r="O15" s="10">
        <v>5.9691415638674572</v>
      </c>
      <c r="P15" s="10">
        <v>6.7077153878479052</v>
      </c>
      <c r="Q15" s="10">
        <v>7.4995209430910235</v>
      </c>
      <c r="R15" s="10">
        <v>8.3421371181729587</v>
      </c>
      <c r="S15" s="10">
        <v>9.2319762002942323</v>
      </c>
      <c r="T15" s="10">
        <v>10.164221156999945</v>
      </c>
      <c r="U15" s="10">
        <v>11.132790119492784</v>
      </c>
      <c r="V15" s="10">
        <v>12.130332645359815</v>
      </c>
      <c r="W15" s="10">
        <v>13.14826163962783</v>
      </c>
      <c r="X15" s="10">
        <v>14.176823851172635</v>
      </c>
      <c r="Y15" s="10">
        <v>15.2052106533367</v>
      </c>
      <c r="Z15" s="10">
        <v>16.221709395933562</v>
      </c>
      <c r="AA15" s="10">
        <v>17.213894029426442</v>
      </c>
      <c r="AB15" s="10">
        <v>18.168852014602905</v>
      </c>
      <c r="AC15" s="10">
        <v>19.073442818705953</v>
      </c>
      <c r="AD15" s="10">
        <v>19.914581647010888</v>
      </c>
    </row>
    <row r="16" spans="1:30" x14ac:dyDescent="0.15">
      <c r="A16" s="2" t="s">
        <v>24</v>
      </c>
      <c r="B16" s="2">
        <v>3983632.2686908795</v>
      </c>
      <c r="C16" s="10">
        <v>1</v>
      </c>
      <c r="D16" s="10">
        <v>1.191988</v>
      </c>
      <c r="E16" s="10">
        <v>1.4140553644</v>
      </c>
      <c r="F16" s="10">
        <v>1.6694507318750129</v>
      </c>
      <c r="G16" s="10">
        <v>1.9614777316975178</v>
      </c>
      <c r="H16" s="10">
        <v>2.2934303770990789</v>
      </c>
      <c r="I16" s="10">
        <v>2.668516328412879</v>
      </c>
      <c r="J16" s="10">
        <v>3.0897683160161358</v>
      </c>
      <c r="K16" s="10">
        <v>3.5599445402009433</v>
      </c>
      <c r="L16" s="10">
        <v>4.0814194562277386</v>
      </c>
      <c r="M16" s="10">
        <v>4.6560669899867788</v>
      </c>
      <c r="N16" s="10">
        <v>5.2851388888699127</v>
      </c>
      <c r="O16" s="10">
        <v>5.9691415638674572</v>
      </c>
      <c r="P16" s="10">
        <v>6.7077153878479052</v>
      </c>
      <c r="Q16" s="10">
        <v>7.4995209430910235</v>
      </c>
      <c r="R16" s="10">
        <v>8.3421371181729587</v>
      </c>
      <c r="S16" s="10">
        <v>9.2319762002942323</v>
      </c>
      <c r="T16" s="10">
        <v>10.164221156999945</v>
      </c>
      <c r="U16" s="10">
        <v>11.132790119492784</v>
      </c>
      <c r="V16" s="10">
        <v>12.130332645359815</v>
      </c>
      <c r="W16" s="10">
        <v>13.14826163962783</v>
      </c>
      <c r="X16" s="10">
        <v>14.176823851172635</v>
      </c>
      <c r="Y16" s="10">
        <v>15.2052106533367</v>
      </c>
      <c r="Z16" s="10">
        <v>16.221709395933562</v>
      </c>
      <c r="AA16" s="10">
        <v>17.213894029426442</v>
      </c>
      <c r="AB16" s="10">
        <v>18.168852014602905</v>
      </c>
      <c r="AC16" s="10">
        <v>19.073442818705953</v>
      </c>
      <c r="AD16" s="10">
        <v>19.914581647010888</v>
      </c>
    </row>
    <row r="17" spans="1:30" x14ac:dyDescent="0.15">
      <c r="A17" s="2" t="s">
        <v>14</v>
      </c>
      <c r="B17" s="2">
        <v>3869685.0822239998</v>
      </c>
      <c r="C17" s="10">
        <v>1</v>
      </c>
      <c r="D17" s="10">
        <v>1.191988</v>
      </c>
      <c r="E17" s="10">
        <v>1.4140553644</v>
      </c>
      <c r="F17" s="10">
        <v>1.6694507318750129</v>
      </c>
      <c r="G17" s="10">
        <v>1.9614777316975178</v>
      </c>
      <c r="H17" s="10">
        <v>2.2934303770990789</v>
      </c>
      <c r="I17" s="10">
        <v>2.668516328412879</v>
      </c>
      <c r="J17" s="10">
        <v>3.0897683160161358</v>
      </c>
      <c r="K17" s="10">
        <v>3.5599445402009433</v>
      </c>
      <c r="L17" s="10">
        <v>4.0814194562277386</v>
      </c>
      <c r="M17" s="10">
        <v>4.6560669899867788</v>
      </c>
      <c r="N17" s="10">
        <v>5.2851388888699127</v>
      </c>
      <c r="O17" s="10">
        <v>5.9691415638674572</v>
      </c>
      <c r="P17" s="10">
        <v>6.7077153878479052</v>
      </c>
      <c r="Q17" s="10">
        <v>7.4995209430910235</v>
      </c>
      <c r="R17" s="10">
        <v>8.3421371181729587</v>
      </c>
      <c r="S17" s="10">
        <v>9.2319762002942323</v>
      </c>
      <c r="T17" s="10">
        <v>10.164221156999945</v>
      </c>
      <c r="U17" s="10">
        <v>11.132790119492784</v>
      </c>
      <c r="V17" s="10">
        <v>12.130332645359815</v>
      </c>
      <c r="W17" s="10">
        <v>13.14826163962783</v>
      </c>
      <c r="X17" s="10">
        <v>14.176823851172635</v>
      </c>
      <c r="Y17" s="10">
        <v>15.2052106533367</v>
      </c>
      <c r="Z17" s="10">
        <v>16.221709395933562</v>
      </c>
      <c r="AA17" s="10">
        <v>17.213894029426442</v>
      </c>
      <c r="AB17" s="10">
        <v>18.168852014602905</v>
      </c>
      <c r="AC17" s="10">
        <v>19.073442818705953</v>
      </c>
      <c r="AD17" s="10">
        <v>19.914581647010888</v>
      </c>
    </row>
    <row r="18" spans="1:30" x14ac:dyDescent="0.15">
      <c r="A18" s="2" t="s">
        <v>15</v>
      </c>
      <c r="B18" s="2">
        <v>2021873.7049056001</v>
      </c>
      <c r="C18" s="10">
        <v>1</v>
      </c>
      <c r="D18" s="10">
        <v>1.191988</v>
      </c>
      <c r="E18" s="10">
        <v>1.4140553644</v>
      </c>
      <c r="F18" s="10">
        <v>1.6694507318750129</v>
      </c>
      <c r="G18" s="10">
        <v>1.9614777316975178</v>
      </c>
      <c r="H18" s="10">
        <v>2.2934303770990789</v>
      </c>
      <c r="I18" s="10">
        <v>2.668516328412879</v>
      </c>
      <c r="J18" s="10">
        <v>3.0897683160161358</v>
      </c>
      <c r="K18" s="10">
        <v>3.5599445402009433</v>
      </c>
      <c r="L18" s="10">
        <v>4.0814194562277386</v>
      </c>
      <c r="M18" s="10">
        <v>4.6560669899867788</v>
      </c>
      <c r="N18" s="10">
        <v>5.2851388888699127</v>
      </c>
      <c r="O18" s="10">
        <v>5.9691415638674572</v>
      </c>
      <c r="P18" s="10">
        <v>6.7077153878479052</v>
      </c>
      <c r="Q18" s="10">
        <v>7.4995209430910235</v>
      </c>
      <c r="R18" s="10">
        <v>8.3421371181729587</v>
      </c>
      <c r="S18" s="10">
        <v>9.2319762002942323</v>
      </c>
      <c r="T18" s="10">
        <v>10.164221156999945</v>
      </c>
      <c r="U18" s="10">
        <v>11.132790119492784</v>
      </c>
      <c r="V18" s="10">
        <v>12.130332645359815</v>
      </c>
      <c r="W18" s="10">
        <v>13.14826163962783</v>
      </c>
      <c r="X18" s="10">
        <v>14.176823851172635</v>
      </c>
      <c r="Y18" s="10">
        <v>15.2052106533367</v>
      </c>
      <c r="Z18" s="10">
        <v>16.221709395933562</v>
      </c>
      <c r="AA18" s="10">
        <v>17.213894029426442</v>
      </c>
      <c r="AB18" s="10">
        <v>18.168852014602905</v>
      </c>
      <c r="AC18" s="10">
        <v>19.073442818705953</v>
      </c>
      <c r="AD18" s="10">
        <v>19.914581647010888</v>
      </c>
    </row>
    <row r="19" spans="1:30" x14ac:dyDescent="0.15">
      <c r="A19" s="2" t="s">
        <v>16</v>
      </c>
      <c r="B19" s="2">
        <v>4934840.8736998076</v>
      </c>
      <c r="C19" s="10">
        <v>1</v>
      </c>
      <c r="D19" s="10">
        <v>1.191988</v>
      </c>
      <c r="E19" s="10">
        <v>1.4140553644</v>
      </c>
      <c r="F19" s="10">
        <v>1.6694507318750129</v>
      </c>
      <c r="G19" s="10">
        <v>1.9614777316975178</v>
      </c>
      <c r="H19" s="10">
        <v>2.2934303770990789</v>
      </c>
      <c r="I19" s="10">
        <v>2.668516328412879</v>
      </c>
      <c r="J19" s="10">
        <v>3.0897683160161358</v>
      </c>
      <c r="K19" s="10">
        <v>3.5599445402009433</v>
      </c>
      <c r="L19" s="10">
        <v>4.0814194562277386</v>
      </c>
      <c r="M19" s="10">
        <v>4.6560669899867788</v>
      </c>
      <c r="N19" s="10">
        <v>5.2851388888699127</v>
      </c>
      <c r="O19" s="10">
        <v>5.9691415638674572</v>
      </c>
      <c r="P19" s="10">
        <v>6.7077153878479052</v>
      </c>
      <c r="Q19" s="10">
        <v>7.4995209430910235</v>
      </c>
      <c r="R19" s="10">
        <v>8.3421371181729587</v>
      </c>
      <c r="S19" s="10">
        <v>9.2319762002942323</v>
      </c>
      <c r="T19" s="10">
        <v>10.164221156999945</v>
      </c>
      <c r="U19" s="10">
        <v>11.132790119492784</v>
      </c>
      <c r="V19" s="10">
        <v>12.130332645359815</v>
      </c>
      <c r="W19" s="10">
        <v>13.14826163962783</v>
      </c>
      <c r="X19" s="10">
        <v>14.176823851172635</v>
      </c>
      <c r="Y19" s="10">
        <v>15.2052106533367</v>
      </c>
      <c r="Z19" s="10">
        <v>16.221709395933562</v>
      </c>
      <c r="AA19" s="10">
        <v>17.213894029426442</v>
      </c>
      <c r="AB19" s="10">
        <v>18.168852014602905</v>
      </c>
      <c r="AC19" s="10">
        <v>19.073442818705953</v>
      </c>
      <c r="AD19" s="10">
        <v>19.914581647010888</v>
      </c>
    </row>
    <row r="20" spans="1:30" ht="15" x14ac:dyDescent="0.25">
      <c r="A20" s="6" t="s">
        <v>8</v>
      </c>
      <c r="B20" s="2">
        <v>15571158.902675997</v>
      </c>
      <c r="C20" s="10">
        <v>1</v>
      </c>
      <c r="D20" s="10">
        <v>1.191988</v>
      </c>
      <c r="E20" s="10">
        <v>1.4140553644</v>
      </c>
      <c r="F20" s="10">
        <v>1.6694507318750129</v>
      </c>
      <c r="G20" s="10">
        <v>1.9614777316975178</v>
      </c>
      <c r="H20" s="10">
        <v>2.2934303770990789</v>
      </c>
      <c r="I20" s="10">
        <v>2.668516328412879</v>
      </c>
      <c r="J20" s="10">
        <v>3.0897683160161358</v>
      </c>
      <c r="K20" s="10">
        <v>3.5599445402009433</v>
      </c>
      <c r="L20" s="10">
        <v>4.0814194562277386</v>
      </c>
      <c r="M20" s="10">
        <v>4.6560669899867788</v>
      </c>
      <c r="N20" s="10">
        <v>5.2851388888699127</v>
      </c>
      <c r="O20" s="10">
        <v>5.9691415638674572</v>
      </c>
      <c r="P20" s="10">
        <v>6.7077153878479052</v>
      </c>
      <c r="Q20" s="10">
        <v>7.4995209430910235</v>
      </c>
      <c r="R20" s="10">
        <v>8.3421371181729587</v>
      </c>
      <c r="S20" s="10">
        <v>9.2319762002942323</v>
      </c>
      <c r="T20" s="10">
        <v>10.164221156999945</v>
      </c>
      <c r="U20" s="10">
        <v>11.132790119492784</v>
      </c>
      <c r="V20" s="10">
        <v>12.130332645359815</v>
      </c>
      <c r="W20" s="10">
        <v>13.14826163962783</v>
      </c>
      <c r="X20" s="10">
        <v>14.176823851172635</v>
      </c>
      <c r="Y20" s="10">
        <v>15.2052106533367</v>
      </c>
      <c r="Z20" s="10">
        <v>16.221709395933562</v>
      </c>
      <c r="AA20" s="10">
        <v>17.213894029426442</v>
      </c>
      <c r="AB20" s="10">
        <v>18.168852014602905</v>
      </c>
      <c r="AC20" s="10">
        <v>19.073442818705953</v>
      </c>
      <c r="AD20" s="10">
        <v>19.914581647010888</v>
      </c>
    </row>
    <row r="21" spans="1:30" x14ac:dyDescent="0.15">
      <c r="A21" s="2" t="s">
        <v>9</v>
      </c>
      <c r="B21" s="2">
        <v>1185572.8564617599</v>
      </c>
      <c r="C21" s="10">
        <v>1</v>
      </c>
      <c r="D21" s="10">
        <v>1.191988</v>
      </c>
      <c r="E21" s="10">
        <v>1.4140553644</v>
      </c>
      <c r="F21" s="10">
        <v>1.6694507318750129</v>
      </c>
      <c r="G21" s="10">
        <v>1.9614777316975178</v>
      </c>
      <c r="H21" s="10">
        <v>2.2934303770990789</v>
      </c>
      <c r="I21" s="10">
        <v>2.668516328412879</v>
      </c>
      <c r="J21" s="10">
        <v>3.0897683160161358</v>
      </c>
      <c r="K21" s="10">
        <v>3.5599445402009433</v>
      </c>
      <c r="L21" s="10">
        <v>4.0814194562277386</v>
      </c>
      <c r="M21" s="10">
        <v>4.6560669899867788</v>
      </c>
      <c r="N21" s="10">
        <v>5.2851388888699127</v>
      </c>
      <c r="O21" s="10">
        <v>5.9691415638674572</v>
      </c>
      <c r="P21" s="10">
        <v>6.7077153878479052</v>
      </c>
      <c r="Q21" s="10">
        <v>7.4995209430910235</v>
      </c>
      <c r="R21" s="10">
        <v>8.3421371181729587</v>
      </c>
      <c r="S21" s="10">
        <v>9.2319762002942323</v>
      </c>
      <c r="T21" s="10">
        <v>10.164221156999945</v>
      </c>
      <c r="U21" s="10">
        <v>11.132790119492784</v>
      </c>
      <c r="V21" s="10">
        <v>12.130332645359815</v>
      </c>
      <c r="W21" s="10">
        <v>13.14826163962783</v>
      </c>
      <c r="X21" s="10">
        <v>14.176823851172635</v>
      </c>
      <c r="Y21" s="10">
        <v>15.2052106533367</v>
      </c>
      <c r="Z21" s="10">
        <v>16.221709395933562</v>
      </c>
      <c r="AA21" s="10">
        <v>17.213894029426442</v>
      </c>
      <c r="AB21" s="10">
        <v>18.168852014602905</v>
      </c>
      <c r="AC21" s="10">
        <v>19.073442818705953</v>
      </c>
      <c r="AD21" s="10">
        <v>19.914581647010888</v>
      </c>
    </row>
    <row r="22" spans="1:30" x14ac:dyDescent="0.15">
      <c r="A22" s="2" t="s">
        <v>11</v>
      </c>
      <c r="B22" s="2">
        <v>503030.41363199998</v>
      </c>
      <c r="C22" s="10">
        <v>1</v>
      </c>
      <c r="D22" s="10">
        <v>1.191988</v>
      </c>
      <c r="E22" s="10">
        <v>1.4140553644</v>
      </c>
      <c r="F22" s="10">
        <v>1.6694507318750129</v>
      </c>
      <c r="G22" s="10">
        <v>1.9614777316975178</v>
      </c>
      <c r="H22" s="10">
        <v>2.2934303770990789</v>
      </c>
      <c r="I22" s="10">
        <v>2.668516328412879</v>
      </c>
      <c r="J22" s="10">
        <v>3.0897683160161358</v>
      </c>
      <c r="K22" s="10">
        <v>3.5599445402009433</v>
      </c>
      <c r="L22" s="10">
        <v>4.0814194562277386</v>
      </c>
      <c r="M22" s="10">
        <v>4.6560669899867788</v>
      </c>
      <c r="N22" s="10">
        <v>5.2851388888699127</v>
      </c>
      <c r="O22" s="10">
        <v>5.9691415638674572</v>
      </c>
      <c r="P22" s="10">
        <v>6.7077153878479052</v>
      </c>
      <c r="Q22" s="10">
        <v>7.4995209430910235</v>
      </c>
      <c r="R22" s="10">
        <v>8.3421371181729587</v>
      </c>
      <c r="S22" s="10">
        <v>9.2319762002942323</v>
      </c>
      <c r="T22" s="10">
        <v>10.164221156999945</v>
      </c>
      <c r="U22" s="10">
        <v>11.132790119492784</v>
      </c>
      <c r="V22" s="10">
        <v>12.130332645359815</v>
      </c>
      <c r="W22" s="10">
        <v>13.14826163962783</v>
      </c>
      <c r="X22" s="10">
        <v>14.176823851172635</v>
      </c>
      <c r="Y22" s="10">
        <v>15.2052106533367</v>
      </c>
      <c r="Z22" s="10">
        <v>16.221709395933562</v>
      </c>
      <c r="AA22" s="10">
        <v>17.213894029426442</v>
      </c>
      <c r="AB22" s="10">
        <v>18.168852014602905</v>
      </c>
      <c r="AC22" s="10">
        <v>19.073442818705953</v>
      </c>
      <c r="AD22" s="10">
        <v>19.914581647010888</v>
      </c>
    </row>
    <row r="23" spans="1:30" x14ac:dyDescent="0.15">
      <c r="A23" s="2" t="s">
        <v>5</v>
      </c>
      <c r="B23" s="2">
        <v>1701337.1726472001</v>
      </c>
      <c r="C23" s="10">
        <v>1</v>
      </c>
      <c r="D23" s="10">
        <v>1.191988</v>
      </c>
      <c r="E23" s="10">
        <v>1.4140553644</v>
      </c>
      <c r="F23" s="10">
        <v>1.6694507318750129</v>
      </c>
      <c r="G23" s="10">
        <v>1.9614777316975178</v>
      </c>
      <c r="H23" s="10">
        <v>2.2934303770990789</v>
      </c>
      <c r="I23" s="10">
        <v>2.668516328412879</v>
      </c>
      <c r="J23" s="10">
        <v>3.0897683160161358</v>
      </c>
      <c r="K23" s="10">
        <v>3.5599445402009433</v>
      </c>
      <c r="L23" s="10">
        <v>4.0814194562277386</v>
      </c>
      <c r="M23" s="10">
        <v>4.6560669899867788</v>
      </c>
      <c r="N23" s="10">
        <v>5.2851388888699127</v>
      </c>
      <c r="O23" s="10">
        <v>5.9691415638674572</v>
      </c>
      <c r="P23" s="10">
        <v>6.7077153878479052</v>
      </c>
      <c r="Q23" s="10">
        <v>7.4995209430910235</v>
      </c>
      <c r="R23" s="10">
        <v>8.3421371181729587</v>
      </c>
      <c r="S23" s="10">
        <v>9.2319762002942323</v>
      </c>
      <c r="T23" s="10">
        <v>10.164221156999945</v>
      </c>
      <c r="U23" s="10">
        <v>11.132790119492784</v>
      </c>
      <c r="V23" s="10">
        <v>12.130332645359815</v>
      </c>
      <c r="W23" s="10">
        <v>13.14826163962783</v>
      </c>
      <c r="X23" s="10">
        <v>14.176823851172635</v>
      </c>
      <c r="Y23" s="10">
        <v>15.2052106533367</v>
      </c>
      <c r="Z23" s="10">
        <v>16.221709395933562</v>
      </c>
      <c r="AA23" s="10">
        <v>17.213894029426442</v>
      </c>
      <c r="AB23" s="10">
        <v>18.168852014602905</v>
      </c>
      <c r="AC23" s="10">
        <v>19.073442818705953</v>
      </c>
      <c r="AD23" s="10">
        <v>19.914581647010888</v>
      </c>
    </row>
    <row r="24" spans="1:30" x14ac:dyDescent="0.15">
      <c r="A24" s="2" t="s">
        <v>27</v>
      </c>
      <c r="B24" s="2">
        <v>7058020.2867840007</v>
      </c>
      <c r="C24" s="10">
        <v>1</v>
      </c>
      <c r="D24" s="10">
        <v>1.191988</v>
      </c>
      <c r="E24" s="10">
        <v>1.4140553644</v>
      </c>
      <c r="F24" s="10">
        <v>1.6694507318750129</v>
      </c>
      <c r="G24" s="10">
        <v>1.9614777316975178</v>
      </c>
      <c r="H24" s="10">
        <v>2.2934303770990789</v>
      </c>
      <c r="I24" s="10">
        <v>2.668516328412879</v>
      </c>
      <c r="J24" s="10">
        <v>3.0897683160161358</v>
      </c>
      <c r="K24" s="10">
        <v>3.5599445402009433</v>
      </c>
      <c r="L24" s="10">
        <v>4.0814194562277386</v>
      </c>
      <c r="M24" s="10">
        <v>4.6560669899867788</v>
      </c>
      <c r="N24" s="10">
        <v>5.2851388888699127</v>
      </c>
      <c r="O24" s="10">
        <v>5.9691415638674572</v>
      </c>
      <c r="P24" s="10">
        <v>6.7077153878479052</v>
      </c>
      <c r="Q24" s="10">
        <v>7.4995209430910235</v>
      </c>
      <c r="R24" s="10">
        <v>8.3421371181729587</v>
      </c>
      <c r="S24" s="10">
        <v>9.2319762002942323</v>
      </c>
      <c r="T24" s="10">
        <v>10.164221156999945</v>
      </c>
      <c r="U24" s="10">
        <v>11.132790119492784</v>
      </c>
      <c r="V24" s="10">
        <v>12.130332645359815</v>
      </c>
      <c r="W24" s="10">
        <v>13.14826163962783</v>
      </c>
      <c r="X24" s="10">
        <v>14.176823851172635</v>
      </c>
      <c r="Y24" s="10">
        <v>15.2052106533367</v>
      </c>
      <c r="Z24" s="10">
        <v>16.221709395933562</v>
      </c>
      <c r="AA24" s="10">
        <v>17.213894029426442</v>
      </c>
      <c r="AB24" s="10">
        <v>18.168852014602905</v>
      </c>
      <c r="AC24" s="10">
        <v>19.073442818705953</v>
      </c>
      <c r="AD24" s="10">
        <v>19.914581647010888</v>
      </c>
    </row>
    <row r="25" spans="1:30" x14ac:dyDescent="0.15">
      <c r="A25" s="2" t="s">
        <v>10</v>
      </c>
      <c r="B25" s="2">
        <v>682320.40156799997</v>
      </c>
      <c r="C25" s="10">
        <v>1</v>
      </c>
      <c r="D25" s="10">
        <v>1.191988</v>
      </c>
      <c r="E25" s="10">
        <v>1.4140553644</v>
      </c>
      <c r="F25" s="10">
        <v>1.6694507318750129</v>
      </c>
      <c r="G25" s="10">
        <v>1.9614777316975178</v>
      </c>
      <c r="H25" s="10">
        <v>2.2934303770990789</v>
      </c>
      <c r="I25" s="10">
        <v>2.668516328412879</v>
      </c>
      <c r="J25" s="10">
        <v>3.0897683160161358</v>
      </c>
      <c r="K25" s="10">
        <v>3.5599445402009433</v>
      </c>
      <c r="L25" s="10">
        <v>4.0814194562277386</v>
      </c>
      <c r="M25" s="10">
        <v>4.6560669899867788</v>
      </c>
      <c r="N25" s="10">
        <v>5.2851388888699127</v>
      </c>
      <c r="O25" s="10">
        <v>5.9691415638674572</v>
      </c>
      <c r="P25" s="10">
        <v>6.7077153878479052</v>
      </c>
      <c r="Q25" s="10">
        <v>7.4995209430910235</v>
      </c>
      <c r="R25" s="10">
        <v>8.3421371181729587</v>
      </c>
      <c r="S25" s="10">
        <v>9.2319762002942323</v>
      </c>
      <c r="T25" s="10">
        <v>10.164221156999945</v>
      </c>
      <c r="U25" s="10">
        <v>11.132790119492784</v>
      </c>
      <c r="V25" s="10">
        <v>12.130332645359815</v>
      </c>
      <c r="W25" s="10">
        <v>13.14826163962783</v>
      </c>
      <c r="X25" s="10">
        <v>14.176823851172635</v>
      </c>
      <c r="Y25" s="10">
        <v>15.2052106533367</v>
      </c>
      <c r="Z25" s="10">
        <v>16.221709395933562</v>
      </c>
      <c r="AA25" s="10">
        <v>17.213894029426442</v>
      </c>
      <c r="AB25" s="10">
        <v>18.168852014602905</v>
      </c>
      <c r="AC25" s="10">
        <v>19.073442818705953</v>
      </c>
      <c r="AD25" s="10">
        <v>19.914581647010888</v>
      </c>
    </row>
    <row r="26" spans="1:30" x14ac:dyDescent="0.15">
      <c r="A26" s="2" t="s">
        <v>30</v>
      </c>
      <c r="B26" s="2">
        <v>412813.17791999999</v>
      </c>
      <c r="C26" s="10">
        <v>1</v>
      </c>
      <c r="D26" s="10">
        <v>1.191988</v>
      </c>
      <c r="E26" s="10">
        <v>1.4140553644</v>
      </c>
      <c r="F26" s="10">
        <v>1.6694507318750129</v>
      </c>
      <c r="G26" s="10">
        <v>1.9614777316975178</v>
      </c>
      <c r="H26" s="10">
        <v>2.2934303770990789</v>
      </c>
      <c r="I26" s="10">
        <v>2.668516328412879</v>
      </c>
      <c r="J26" s="10">
        <v>3.0897683160161358</v>
      </c>
      <c r="K26" s="10">
        <v>3.5599445402009433</v>
      </c>
      <c r="L26" s="10">
        <v>4.0814194562277386</v>
      </c>
      <c r="M26" s="10">
        <v>4.6560669899867788</v>
      </c>
      <c r="N26" s="10">
        <v>5.2851388888699127</v>
      </c>
      <c r="O26" s="10">
        <v>5.9691415638674572</v>
      </c>
      <c r="P26" s="10">
        <v>6.7077153878479052</v>
      </c>
      <c r="Q26" s="10">
        <v>7.4995209430910235</v>
      </c>
      <c r="R26" s="10">
        <v>8.3421371181729587</v>
      </c>
      <c r="S26" s="10">
        <v>9.2319762002942323</v>
      </c>
      <c r="T26" s="10">
        <v>10.164221156999945</v>
      </c>
      <c r="U26" s="10">
        <v>11.132790119492784</v>
      </c>
      <c r="V26" s="10">
        <v>12.130332645359815</v>
      </c>
      <c r="W26" s="10">
        <v>13.14826163962783</v>
      </c>
      <c r="X26" s="10">
        <v>14.176823851172635</v>
      </c>
      <c r="Y26" s="10">
        <v>15.2052106533367</v>
      </c>
      <c r="Z26" s="10">
        <v>16.221709395933562</v>
      </c>
      <c r="AA26" s="10">
        <v>17.213894029426442</v>
      </c>
      <c r="AB26" s="10">
        <v>18.168852014602905</v>
      </c>
      <c r="AC26" s="10">
        <v>19.073442818705953</v>
      </c>
      <c r="AD26" s="10">
        <v>19.914581647010888</v>
      </c>
    </row>
    <row r="27" spans="1:30" x14ac:dyDescent="0.15">
      <c r="A27" s="2" t="s">
        <v>23</v>
      </c>
      <c r="B27" s="2">
        <v>4821327.8574240003</v>
      </c>
      <c r="C27" s="10">
        <v>1</v>
      </c>
      <c r="D27" s="10">
        <v>1.191988</v>
      </c>
      <c r="E27" s="10">
        <v>1.4140553644</v>
      </c>
      <c r="F27" s="10">
        <v>1.6694507318750129</v>
      </c>
      <c r="G27" s="10">
        <v>1.9614777316975178</v>
      </c>
      <c r="H27" s="10">
        <v>2.2934303770990789</v>
      </c>
      <c r="I27" s="10">
        <v>2.668516328412879</v>
      </c>
      <c r="J27" s="10">
        <v>3.0897683160161358</v>
      </c>
      <c r="K27" s="10">
        <v>3.5599445402009433</v>
      </c>
      <c r="L27" s="10">
        <v>4.0814194562277386</v>
      </c>
      <c r="M27" s="10">
        <v>4.6560669899867788</v>
      </c>
      <c r="N27" s="10">
        <v>5.2851388888699127</v>
      </c>
      <c r="O27" s="10">
        <v>5.9691415638674572</v>
      </c>
      <c r="P27" s="10">
        <v>6.7077153878479052</v>
      </c>
      <c r="Q27" s="10">
        <v>7.4995209430910235</v>
      </c>
      <c r="R27" s="10">
        <v>8.3421371181729587</v>
      </c>
      <c r="S27" s="10">
        <v>9.2319762002942323</v>
      </c>
      <c r="T27" s="10">
        <v>10.164221156999945</v>
      </c>
      <c r="U27" s="10">
        <v>11.132790119492784</v>
      </c>
      <c r="V27" s="10">
        <v>12.130332645359815</v>
      </c>
      <c r="W27" s="10">
        <v>13.14826163962783</v>
      </c>
      <c r="X27" s="10">
        <v>14.176823851172635</v>
      </c>
      <c r="Y27" s="10">
        <v>15.2052106533367</v>
      </c>
      <c r="Z27" s="10">
        <v>16.221709395933562</v>
      </c>
      <c r="AA27" s="10">
        <v>17.213894029426442</v>
      </c>
      <c r="AB27" s="10">
        <v>18.168852014602905</v>
      </c>
      <c r="AC27" s="10">
        <v>19.073442818705953</v>
      </c>
      <c r="AD27" s="10">
        <v>19.914581647010888</v>
      </c>
    </row>
    <row r="28" spans="1:30" x14ac:dyDescent="0.15">
      <c r="A28" s="2" t="s">
        <v>7</v>
      </c>
      <c r="B28" s="2">
        <v>6716700.4788000006</v>
      </c>
      <c r="C28" s="10">
        <v>1</v>
      </c>
      <c r="D28" s="10">
        <v>1.191988</v>
      </c>
      <c r="E28" s="10">
        <v>1.4140553644</v>
      </c>
      <c r="F28" s="10">
        <v>1.6694507318750129</v>
      </c>
      <c r="G28" s="10">
        <v>1.9614777316975178</v>
      </c>
      <c r="H28" s="10">
        <v>2.2934303770990789</v>
      </c>
      <c r="I28" s="10">
        <v>2.668516328412879</v>
      </c>
      <c r="J28" s="10">
        <v>3.0897683160161358</v>
      </c>
      <c r="K28" s="10">
        <v>3.5599445402009433</v>
      </c>
      <c r="L28" s="10">
        <v>4.0814194562277386</v>
      </c>
      <c r="M28" s="10">
        <v>4.6560669899867788</v>
      </c>
      <c r="N28" s="10">
        <v>5.2851388888699127</v>
      </c>
      <c r="O28" s="10">
        <v>5.9691415638674572</v>
      </c>
      <c r="P28" s="10">
        <v>6.7077153878479052</v>
      </c>
      <c r="Q28" s="10">
        <v>7.4995209430910235</v>
      </c>
      <c r="R28" s="10">
        <v>8.3421371181729587</v>
      </c>
      <c r="S28" s="10">
        <v>9.2319762002942323</v>
      </c>
      <c r="T28" s="10">
        <v>10.164221156999945</v>
      </c>
      <c r="U28" s="10">
        <v>11.132790119492784</v>
      </c>
      <c r="V28" s="10">
        <v>12.130332645359815</v>
      </c>
      <c r="W28" s="10">
        <v>13.14826163962783</v>
      </c>
      <c r="X28" s="10">
        <v>14.176823851172635</v>
      </c>
      <c r="Y28" s="10">
        <v>15.2052106533367</v>
      </c>
      <c r="Z28" s="10">
        <v>16.221709395933562</v>
      </c>
      <c r="AA28" s="10">
        <v>17.213894029426442</v>
      </c>
      <c r="AB28" s="10">
        <v>18.168852014602905</v>
      </c>
      <c r="AC28" s="10">
        <v>19.073442818705953</v>
      </c>
      <c r="AD28" s="10">
        <v>19.914581647010888</v>
      </c>
    </row>
    <row r="29" spans="1:30" x14ac:dyDescent="0.15">
      <c r="A29" s="2" t="s">
        <v>22</v>
      </c>
      <c r="B29" s="2">
        <v>30079.352160000002</v>
      </c>
      <c r="C29" s="10">
        <v>1</v>
      </c>
      <c r="D29" s="10">
        <v>1.191988</v>
      </c>
      <c r="E29" s="10">
        <v>1.4140553644</v>
      </c>
      <c r="F29" s="10">
        <v>1.6694507318750129</v>
      </c>
      <c r="G29" s="10">
        <v>1.9614777316975178</v>
      </c>
      <c r="H29" s="10">
        <v>2.2934303770990789</v>
      </c>
      <c r="I29" s="10">
        <v>2.668516328412879</v>
      </c>
      <c r="J29" s="10">
        <v>3.0897683160161358</v>
      </c>
      <c r="K29" s="10">
        <v>3.5599445402009433</v>
      </c>
      <c r="L29" s="10">
        <v>4.0814194562277386</v>
      </c>
      <c r="M29" s="10">
        <v>4.6560669899867788</v>
      </c>
      <c r="N29" s="10">
        <v>5.2851388888699127</v>
      </c>
      <c r="O29" s="10">
        <v>5.9691415638674572</v>
      </c>
      <c r="P29" s="10">
        <v>6.7077153878479052</v>
      </c>
      <c r="Q29" s="10">
        <v>7.4995209430910235</v>
      </c>
      <c r="R29" s="10">
        <v>8.3421371181729587</v>
      </c>
      <c r="S29" s="10">
        <v>9.2319762002942323</v>
      </c>
      <c r="T29" s="10">
        <v>10.164221156999945</v>
      </c>
      <c r="U29" s="10">
        <v>11.132790119492784</v>
      </c>
      <c r="V29" s="10">
        <v>12.130332645359815</v>
      </c>
      <c r="W29" s="10">
        <v>13.14826163962783</v>
      </c>
      <c r="X29" s="10">
        <v>14.176823851172635</v>
      </c>
      <c r="Y29" s="10">
        <v>15.2052106533367</v>
      </c>
      <c r="Z29" s="10">
        <v>16.221709395933562</v>
      </c>
      <c r="AA29" s="10">
        <v>17.213894029426442</v>
      </c>
      <c r="AB29" s="10">
        <v>18.168852014602905</v>
      </c>
      <c r="AC29" s="10">
        <v>19.073442818705953</v>
      </c>
      <c r="AD29" s="10">
        <v>19.914581647010888</v>
      </c>
    </row>
    <row r="30" spans="1:30" ht="15" x14ac:dyDescent="0.25">
      <c r="A30" s="6" t="s">
        <v>21</v>
      </c>
      <c r="B30" s="2">
        <v>70719.48</v>
      </c>
      <c r="C30" s="10">
        <v>1</v>
      </c>
      <c r="D30" s="10">
        <v>1.191988</v>
      </c>
      <c r="E30" s="10">
        <v>1.4140553644</v>
      </c>
      <c r="F30" s="10">
        <v>1.6694507318750129</v>
      </c>
      <c r="G30" s="10">
        <v>1.9614777316975178</v>
      </c>
      <c r="H30" s="10">
        <v>2.2934303770990789</v>
      </c>
      <c r="I30" s="10">
        <v>2.668516328412879</v>
      </c>
      <c r="J30" s="10">
        <v>3.0897683160161358</v>
      </c>
      <c r="K30" s="10">
        <v>3.5599445402009433</v>
      </c>
      <c r="L30" s="10">
        <v>4.0814194562277386</v>
      </c>
      <c r="M30" s="10">
        <v>4.6560669899867788</v>
      </c>
      <c r="N30" s="10">
        <v>5.2851388888699127</v>
      </c>
      <c r="O30" s="10">
        <v>5.9691415638674572</v>
      </c>
      <c r="P30" s="10">
        <v>6.7077153878479052</v>
      </c>
      <c r="Q30" s="10">
        <v>7.4995209430910235</v>
      </c>
      <c r="R30" s="10">
        <v>8.3421371181729587</v>
      </c>
      <c r="S30" s="10">
        <v>9.2319762002942323</v>
      </c>
      <c r="T30" s="10">
        <v>10.164221156999945</v>
      </c>
      <c r="U30" s="10">
        <v>11.132790119492784</v>
      </c>
      <c r="V30" s="10">
        <v>12.130332645359815</v>
      </c>
      <c r="W30" s="10">
        <v>13.14826163962783</v>
      </c>
      <c r="X30" s="10">
        <v>14.176823851172635</v>
      </c>
      <c r="Y30" s="10">
        <v>15.2052106533367</v>
      </c>
      <c r="Z30" s="10">
        <v>16.221709395933562</v>
      </c>
      <c r="AA30" s="10">
        <v>17.213894029426442</v>
      </c>
      <c r="AB30" s="10">
        <v>18.168852014602905</v>
      </c>
      <c r="AC30" s="10">
        <v>19.073442818705953</v>
      </c>
      <c r="AD30" s="10">
        <v>19.914581647010888</v>
      </c>
    </row>
    <row r="31" spans="1:30" x14ac:dyDescent="0.15">
      <c r="A31" s="2" t="s">
        <v>29</v>
      </c>
      <c r="B31" s="2">
        <v>677021.15520000004</v>
      </c>
      <c r="C31" s="10">
        <v>1</v>
      </c>
      <c r="D31" s="10">
        <v>1.191988</v>
      </c>
      <c r="E31" s="10">
        <v>1.4140553644</v>
      </c>
      <c r="F31" s="10">
        <v>1.6694507318750129</v>
      </c>
      <c r="G31" s="10">
        <v>1.9614777316975178</v>
      </c>
      <c r="H31" s="10">
        <v>2.2934303770990789</v>
      </c>
      <c r="I31" s="10">
        <v>2.668516328412879</v>
      </c>
      <c r="J31" s="10">
        <v>3.0897683160161358</v>
      </c>
      <c r="K31" s="10">
        <v>3.5599445402009433</v>
      </c>
      <c r="L31" s="10">
        <v>4.0814194562277386</v>
      </c>
      <c r="M31" s="10">
        <v>4.6560669899867788</v>
      </c>
      <c r="N31" s="10">
        <v>5.2851388888699127</v>
      </c>
      <c r="O31" s="10">
        <v>5.9691415638674572</v>
      </c>
      <c r="P31" s="10">
        <v>6.7077153878479052</v>
      </c>
      <c r="Q31" s="10">
        <v>7.4995209430910235</v>
      </c>
      <c r="R31" s="10">
        <v>8.3421371181729587</v>
      </c>
      <c r="S31" s="10">
        <v>9.2319762002942323</v>
      </c>
      <c r="T31" s="10">
        <v>10.164221156999945</v>
      </c>
      <c r="U31" s="10">
        <v>11.132790119492784</v>
      </c>
      <c r="V31" s="10">
        <v>12.130332645359815</v>
      </c>
      <c r="W31" s="10">
        <v>13.14826163962783</v>
      </c>
      <c r="X31" s="10">
        <v>14.176823851172635</v>
      </c>
      <c r="Y31" s="10">
        <v>15.2052106533367</v>
      </c>
      <c r="Z31" s="10">
        <v>16.221709395933562</v>
      </c>
      <c r="AA31" s="10">
        <v>17.213894029426442</v>
      </c>
      <c r="AB31" s="10">
        <v>18.168852014602905</v>
      </c>
      <c r="AC31" s="10">
        <v>19.073442818705953</v>
      </c>
      <c r="AD31" s="10">
        <v>19.914581647010888</v>
      </c>
    </row>
    <row r="32" spans="1:30" x14ac:dyDescent="0.15">
      <c r="A32" s="2" t="s">
        <v>33</v>
      </c>
      <c r="B32" s="2">
        <v>0</v>
      </c>
      <c r="C32" s="10">
        <v>1</v>
      </c>
      <c r="D32" s="10">
        <v>1.191988</v>
      </c>
      <c r="E32" s="10">
        <v>1.4140553644</v>
      </c>
      <c r="F32" s="10">
        <v>1.6694507318750129</v>
      </c>
      <c r="G32" s="10">
        <v>1.9614777316975178</v>
      </c>
      <c r="H32" s="10">
        <v>2.2934303770990789</v>
      </c>
      <c r="I32" s="10">
        <v>2.668516328412879</v>
      </c>
      <c r="J32" s="10">
        <v>3.0897683160161358</v>
      </c>
      <c r="K32" s="10">
        <v>3.5599445402009433</v>
      </c>
      <c r="L32" s="10">
        <v>4.0814194562277386</v>
      </c>
      <c r="M32" s="10">
        <v>4.6560669899867788</v>
      </c>
      <c r="N32" s="10">
        <v>5.2851388888699127</v>
      </c>
      <c r="O32" s="10">
        <v>5.9691415638674572</v>
      </c>
      <c r="P32" s="10">
        <v>6.7077153878479052</v>
      </c>
      <c r="Q32" s="10">
        <v>7.4995209430910235</v>
      </c>
      <c r="R32" s="10">
        <v>8.3421371181729587</v>
      </c>
      <c r="S32" s="10">
        <v>9.2319762002942323</v>
      </c>
      <c r="T32" s="10">
        <v>10.164221156999945</v>
      </c>
      <c r="U32" s="10">
        <v>11.132790119492784</v>
      </c>
      <c r="V32" s="10">
        <v>12.130332645359815</v>
      </c>
      <c r="W32" s="10">
        <v>13.14826163962783</v>
      </c>
      <c r="X32" s="10">
        <v>14.176823851172635</v>
      </c>
      <c r="Y32" s="10">
        <v>15.2052106533367</v>
      </c>
      <c r="Z32" s="10">
        <v>16.221709395933562</v>
      </c>
      <c r="AA32" s="10">
        <v>17.213894029426442</v>
      </c>
      <c r="AB32" s="10">
        <v>18.168852014602905</v>
      </c>
      <c r="AC32" s="10">
        <v>19.073442818705953</v>
      </c>
      <c r="AD32" s="10">
        <v>19.914581647010888</v>
      </c>
    </row>
    <row r="34" spans="1:1" ht="15" x14ac:dyDescent="0.25">
      <c r="A34" s="6"/>
    </row>
    <row r="35" spans="1:1" ht="15" x14ac:dyDescent="0.25">
      <c r="A35" s="6"/>
    </row>
    <row r="36" spans="1:1" ht="15" x14ac:dyDescent="0.25">
      <c r="A36" s="6"/>
    </row>
    <row r="37" spans="1:1" ht="15" x14ac:dyDescent="0.25">
      <c r="A37" s="6"/>
    </row>
    <row r="38" spans="1:1" ht="15" x14ac:dyDescent="0.25">
      <c r="A38" s="6"/>
    </row>
    <row r="39" spans="1:1" ht="15" x14ac:dyDescent="0.25">
      <c r="A39" s="6"/>
    </row>
    <row r="40" spans="1:1" ht="15" x14ac:dyDescent="0.25">
      <c r="A40" s="6"/>
    </row>
    <row r="41" spans="1:1" ht="15" x14ac:dyDescent="0.25">
      <c r="A41" s="6"/>
    </row>
    <row r="42" spans="1:1" ht="15" x14ac:dyDescent="0.25">
      <c r="A42" s="6"/>
    </row>
    <row r="43" spans="1:1" ht="15" x14ac:dyDescent="0.25">
      <c r="A43" s="6"/>
    </row>
    <row r="44" spans="1:1" ht="15" x14ac:dyDescent="0.25">
      <c r="A44" s="6"/>
    </row>
    <row r="45" spans="1:1" ht="15" x14ac:dyDescent="0.25">
      <c r="A45" s="6"/>
    </row>
    <row r="46" spans="1:1" ht="15" x14ac:dyDescent="0.25">
      <c r="A46" s="6"/>
    </row>
    <row r="47" spans="1:1" ht="15" x14ac:dyDescent="0.25">
      <c r="A47" s="6"/>
    </row>
    <row r="48" spans="1:1" ht="15" x14ac:dyDescent="0.25">
      <c r="A48" s="6"/>
    </row>
    <row r="49" spans="1:1" ht="15" x14ac:dyDescent="0.25">
      <c r="A49" s="6"/>
    </row>
    <row r="50" spans="1:1" ht="15" x14ac:dyDescent="0.25">
      <c r="A50" s="6"/>
    </row>
    <row r="51" spans="1:1" ht="15" x14ac:dyDescent="0.25">
      <c r="A51" s="6"/>
    </row>
    <row r="52" spans="1:1" ht="15" x14ac:dyDescent="0.25">
      <c r="A52" s="6"/>
    </row>
    <row r="53" spans="1:1" ht="15" x14ac:dyDescent="0.25">
      <c r="A53" s="6"/>
    </row>
    <row r="54" spans="1:1" ht="15" x14ac:dyDescent="0.25">
      <c r="A54" s="6"/>
    </row>
    <row r="55" spans="1:1" ht="15" x14ac:dyDescent="0.25">
      <c r="A55" s="6"/>
    </row>
    <row r="56" spans="1:1" ht="15" x14ac:dyDescent="0.25">
      <c r="A56" s="6"/>
    </row>
    <row r="57" spans="1:1" ht="15" x14ac:dyDescent="0.25">
      <c r="A57" s="6"/>
    </row>
    <row r="58" spans="1:1" ht="15" x14ac:dyDescent="0.25">
      <c r="A58" s="6"/>
    </row>
    <row r="59" spans="1:1" ht="15" x14ac:dyDescent="0.25">
      <c r="A59" s="6"/>
    </row>
    <row r="60" spans="1:1" ht="15" x14ac:dyDescent="0.25">
      <c r="A60" s="6"/>
    </row>
    <row r="61" spans="1:1" ht="15" x14ac:dyDescent="0.25">
      <c r="A61" s="6"/>
    </row>
    <row r="62" spans="1:1" ht="15" x14ac:dyDescent="0.25">
      <c r="A62" s="6"/>
    </row>
    <row r="63" spans="1:1" ht="15" x14ac:dyDescent="0.25">
      <c r="A63" s="6"/>
    </row>
    <row r="64" spans="1:1" ht="15" x14ac:dyDescent="0.25">
      <c r="A64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4DA7-38C9-48B4-94B5-B68A49D7CC2A}">
  <dimension ref="A1:AD32"/>
  <sheetViews>
    <sheetView zoomScaleNormal="100" workbookViewId="0"/>
  </sheetViews>
  <sheetFormatPr defaultRowHeight="13.5" x14ac:dyDescent="0.15"/>
  <sheetData>
    <row r="1" spans="1:30" x14ac:dyDescent="0.15">
      <c r="A1" s="3"/>
      <c r="B1" s="3" t="s">
        <v>34</v>
      </c>
      <c r="C1" s="3">
        <v>2023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</row>
    <row r="2" spans="1:30" x14ac:dyDescent="0.15">
      <c r="A2" s="2" t="s">
        <v>4</v>
      </c>
      <c r="B2" s="2">
        <v>11890329.720328802</v>
      </c>
      <c r="C2" s="10">
        <v>1</v>
      </c>
      <c r="D2" s="10">
        <v>1.2303679999999999</v>
      </c>
      <c r="E2" s="10">
        <v>1.5046170271999999</v>
      </c>
      <c r="F2" s="10">
        <v>1.8287596826037504</v>
      </c>
      <c r="G2" s="10">
        <v>2.2090758612367569</v>
      </c>
      <c r="H2" s="10">
        <v>2.6519867351112816</v>
      </c>
      <c r="I2" s="10">
        <v>3.1638944306163421</v>
      </c>
      <c r="J2" s="10">
        <v>3.7509866811615105</v>
      </c>
      <c r="K2" s="10">
        <v>4.4190074011829257</v>
      </c>
      <c r="L2" s="10">
        <v>5.1729961200023604</v>
      </c>
      <c r="M2" s="10">
        <v>6.017001474957465</v>
      </c>
      <c r="N2" s="10">
        <v>6.9537764005906428</v>
      </c>
      <c r="O2" s="10">
        <v>7.984465138686188</v>
      </c>
      <c r="P2" s="10">
        <v>9.1082945758865463</v>
      </c>
      <c r="Q2" s="10">
        <v>10.322284510139008</v>
      </c>
      <c r="R2" s="10">
        <v>11.620993058066658</v>
      </c>
      <c r="S2" s="10">
        <v>12.996314344502728</v>
      </c>
      <c r="T2" s="10">
        <v>14.43734567902119</v>
      </c>
      <c r="U2" s="10">
        <v>15.930340470380131</v>
      </c>
      <c r="V2" s="10">
        <v>17.458761056470284</v>
      </c>
      <c r="W2" s="10">
        <v>19.00344239970255</v>
      </c>
      <c r="X2" s="10">
        <v>20.542873261617654</v>
      </c>
      <c r="Y2" s="10">
        <v>22.053596161277014</v>
      </c>
      <c r="Z2" s="10">
        <v>23.510721366844905</v>
      </c>
      <c r="AA2" s="10">
        <v>24.888543681827482</v>
      </c>
      <c r="AB2" s="10">
        <v>26.161244251541408</v>
      </c>
      <c r="AC2" s="10">
        <v>27.303653465517712</v>
      </c>
      <c r="AD2" s="10">
        <v>28.292045720969455</v>
      </c>
    </row>
    <row r="3" spans="1:30" x14ac:dyDescent="0.15">
      <c r="A3" s="2" t="s">
        <v>28</v>
      </c>
      <c r="B3" s="2">
        <v>1469992.0839551997</v>
      </c>
      <c r="C3" s="10">
        <v>1</v>
      </c>
      <c r="D3" s="10">
        <v>1.2303679999999999</v>
      </c>
      <c r="E3" s="10">
        <v>1.5046170271999999</v>
      </c>
      <c r="F3" s="10">
        <v>1.8287596826037504</v>
      </c>
      <c r="G3" s="10">
        <v>2.2090758612367569</v>
      </c>
      <c r="H3" s="10">
        <v>2.6519867351112816</v>
      </c>
      <c r="I3" s="10">
        <v>3.1638944306163421</v>
      </c>
      <c r="J3" s="10">
        <v>3.7509866811615105</v>
      </c>
      <c r="K3" s="10">
        <v>4.4190074011829257</v>
      </c>
      <c r="L3" s="10">
        <v>5.1729961200023604</v>
      </c>
      <c r="M3" s="10">
        <v>6.017001474957465</v>
      </c>
      <c r="N3" s="10">
        <v>6.9537764005906428</v>
      </c>
      <c r="O3" s="10">
        <v>7.984465138686188</v>
      </c>
      <c r="P3" s="10">
        <v>9.1082945758865463</v>
      </c>
      <c r="Q3" s="10">
        <v>10.322284510139008</v>
      </c>
      <c r="R3" s="10">
        <v>11.620993058066658</v>
      </c>
      <c r="S3" s="10">
        <v>12.996314344502728</v>
      </c>
      <c r="T3" s="10">
        <v>14.43734567902119</v>
      </c>
      <c r="U3" s="10">
        <v>15.930340470380131</v>
      </c>
      <c r="V3" s="10">
        <v>17.458761056470284</v>
      </c>
      <c r="W3" s="10">
        <v>19.00344239970255</v>
      </c>
      <c r="X3" s="10">
        <v>20.542873261617654</v>
      </c>
      <c r="Y3" s="10">
        <v>22.053596161277014</v>
      </c>
      <c r="Z3" s="10">
        <v>23.510721366844905</v>
      </c>
      <c r="AA3" s="10">
        <v>24.888543681827482</v>
      </c>
      <c r="AB3" s="10">
        <v>26.161244251541408</v>
      </c>
      <c r="AC3" s="10">
        <v>27.303653465517712</v>
      </c>
      <c r="AD3" s="10">
        <v>28.292045720969455</v>
      </c>
    </row>
    <row r="4" spans="1:30" x14ac:dyDescent="0.15">
      <c r="A4" s="2" t="s">
        <v>12</v>
      </c>
      <c r="B4" s="2">
        <v>6715804.6987200007</v>
      </c>
      <c r="C4" s="10">
        <v>1</v>
      </c>
      <c r="D4" s="10">
        <v>1.2303679999999999</v>
      </c>
      <c r="E4" s="10">
        <v>1.5046170271999999</v>
      </c>
      <c r="F4" s="10">
        <v>1.8287596826037504</v>
      </c>
      <c r="G4" s="10">
        <v>2.2090758612367569</v>
      </c>
      <c r="H4" s="10">
        <v>2.6519867351112816</v>
      </c>
      <c r="I4" s="10">
        <v>3.1638944306163421</v>
      </c>
      <c r="J4" s="10">
        <v>3.7509866811615105</v>
      </c>
      <c r="K4" s="10">
        <v>4.4190074011829257</v>
      </c>
      <c r="L4" s="10">
        <v>5.1729961200023604</v>
      </c>
      <c r="M4" s="10">
        <v>6.017001474957465</v>
      </c>
      <c r="N4" s="10">
        <v>6.9537764005906428</v>
      </c>
      <c r="O4" s="10">
        <v>7.984465138686188</v>
      </c>
      <c r="P4" s="10">
        <v>9.1082945758865463</v>
      </c>
      <c r="Q4" s="10">
        <v>10.322284510139008</v>
      </c>
      <c r="R4" s="10">
        <v>11.620993058066658</v>
      </c>
      <c r="S4" s="10">
        <v>12.996314344502728</v>
      </c>
      <c r="T4" s="10">
        <v>14.43734567902119</v>
      </c>
      <c r="U4" s="10">
        <v>15.930340470380131</v>
      </c>
      <c r="V4" s="10">
        <v>17.458761056470284</v>
      </c>
      <c r="W4" s="10">
        <v>19.00344239970255</v>
      </c>
      <c r="X4" s="10">
        <v>20.542873261617654</v>
      </c>
      <c r="Y4" s="10">
        <v>22.053596161277014</v>
      </c>
      <c r="Z4" s="10">
        <v>23.510721366844905</v>
      </c>
      <c r="AA4" s="10">
        <v>24.888543681827482</v>
      </c>
      <c r="AB4" s="10">
        <v>26.161244251541408</v>
      </c>
      <c r="AC4" s="10">
        <v>27.303653465517712</v>
      </c>
      <c r="AD4" s="10">
        <v>28.292045720969455</v>
      </c>
    </row>
    <row r="5" spans="1:30" x14ac:dyDescent="0.15">
      <c r="A5" s="2" t="s">
        <v>26</v>
      </c>
      <c r="B5" s="2">
        <v>240258.87252431997</v>
      </c>
      <c r="C5" s="10">
        <v>1</v>
      </c>
      <c r="D5" s="10">
        <v>1.2303679999999999</v>
      </c>
      <c r="E5" s="10">
        <v>1.5046170271999999</v>
      </c>
      <c r="F5" s="10">
        <v>1.8287596826037504</v>
      </c>
      <c r="G5" s="10">
        <v>2.2090758612367569</v>
      </c>
      <c r="H5" s="10">
        <v>2.6519867351112816</v>
      </c>
      <c r="I5" s="10">
        <v>3.1638944306163421</v>
      </c>
      <c r="J5" s="10">
        <v>3.7509866811615105</v>
      </c>
      <c r="K5" s="10">
        <v>4.4190074011829257</v>
      </c>
      <c r="L5" s="10">
        <v>5.1729961200023604</v>
      </c>
      <c r="M5" s="10">
        <v>6.017001474957465</v>
      </c>
      <c r="N5" s="10">
        <v>6.9537764005906428</v>
      </c>
      <c r="O5" s="10">
        <v>7.984465138686188</v>
      </c>
      <c r="P5" s="10">
        <v>9.1082945758865463</v>
      </c>
      <c r="Q5" s="10">
        <v>10.322284510139008</v>
      </c>
      <c r="R5" s="10">
        <v>11.620993058066658</v>
      </c>
      <c r="S5" s="10">
        <v>12.996314344502728</v>
      </c>
      <c r="T5" s="10">
        <v>14.43734567902119</v>
      </c>
      <c r="U5" s="10">
        <v>15.930340470380131</v>
      </c>
      <c r="V5" s="10">
        <v>17.458761056470284</v>
      </c>
      <c r="W5" s="10">
        <v>19.00344239970255</v>
      </c>
      <c r="X5" s="10">
        <v>20.542873261617654</v>
      </c>
      <c r="Y5" s="10">
        <v>22.053596161277014</v>
      </c>
      <c r="Z5" s="10">
        <v>23.510721366844905</v>
      </c>
      <c r="AA5" s="10">
        <v>24.888543681827482</v>
      </c>
      <c r="AB5" s="10">
        <v>26.161244251541408</v>
      </c>
      <c r="AC5" s="10">
        <v>27.303653465517712</v>
      </c>
      <c r="AD5" s="10">
        <v>28.292045720969455</v>
      </c>
    </row>
    <row r="6" spans="1:30" x14ac:dyDescent="0.15">
      <c r="A6" s="2" t="s">
        <v>32</v>
      </c>
      <c r="B6" s="2">
        <v>347638.10515199997</v>
      </c>
      <c r="C6" s="10">
        <v>1</v>
      </c>
      <c r="D6" s="10">
        <v>1.2303679999999999</v>
      </c>
      <c r="E6" s="10">
        <v>1.5046170271999999</v>
      </c>
      <c r="F6" s="10">
        <v>1.8287596826037504</v>
      </c>
      <c r="G6" s="10">
        <v>2.2090758612367569</v>
      </c>
      <c r="H6" s="10">
        <v>2.6519867351112816</v>
      </c>
      <c r="I6" s="10">
        <v>3.1638944306163421</v>
      </c>
      <c r="J6" s="10">
        <v>3.7509866811615105</v>
      </c>
      <c r="K6" s="10">
        <v>4.4190074011829257</v>
      </c>
      <c r="L6" s="10">
        <v>5.1729961200023604</v>
      </c>
      <c r="M6" s="10">
        <v>6.017001474957465</v>
      </c>
      <c r="N6" s="10">
        <v>6.9537764005906428</v>
      </c>
      <c r="O6" s="10">
        <v>7.984465138686188</v>
      </c>
      <c r="P6" s="10">
        <v>9.1082945758865463</v>
      </c>
      <c r="Q6" s="10">
        <v>10.322284510139008</v>
      </c>
      <c r="R6" s="10">
        <v>11.620993058066658</v>
      </c>
      <c r="S6" s="10">
        <v>12.996314344502728</v>
      </c>
      <c r="T6" s="10">
        <v>14.43734567902119</v>
      </c>
      <c r="U6" s="10">
        <v>15.930340470380131</v>
      </c>
      <c r="V6" s="10">
        <v>17.458761056470284</v>
      </c>
      <c r="W6" s="10">
        <v>19.00344239970255</v>
      </c>
      <c r="X6" s="10">
        <v>20.542873261617654</v>
      </c>
      <c r="Y6" s="10">
        <v>22.053596161277014</v>
      </c>
      <c r="Z6" s="10">
        <v>23.510721366844905</v>
      </c>
      <c r="AA6" s="10">
        <v>24.888543681827482</v>
      </c>
      <c r="AB6" s="10">
        <v>26.161244251541408</v>
      </c>
      <c r="AC6" s="10">
        <v>27.303653465517712</v>
      </c>
      <c r="AD6" s="10">
        <v>28.292045720969455</v>
      </c>
    </row>
    <row r="7" spans="1:30" x14ac:dyDescent="0.15">
      <c r="A7" s="2" t="s">
        <v>20</v>
      </c>
      <c r="B7" s="2">
        <v>873036.69523200009</v>
      </c>
      <c r="C7" s="10">
        <v>1</v>
      </c>
      <c r="D7" s="10">
        <v>1.2303679999999999</v>
      </c>
      <c r="E7" s="10">
        <v>1.5046170271999999</v>
      </c>
      <c r="F7" s="10">
        <v>1.8287596826037504</v>
      </c>
      <c r="G7" s="10">
        <v>2.2090758612367569</v>
      </c>
      <c r="H7" s="10">
        <v>2.6519867351112816</v>
      </c>
      <c r="I7" s="10">
        <v>3.1638944306163421</v>
      </c>
      <c r="J7" s="10">
        <v>3.7509866811615105</v>
      </c>
      <c r="K7" s="10">
        <v>4.4190074011829257</v>
      </c>
      <c r="L7" s="10">
        <v>5.1729961200023604</v>
      </c>
      <c r="M7" s="10">
        <v>6.017001474957465</v>
      </c>
      <c r="N7" s="10">
        <v>6.9537764005906428</v>
      </c>
      <c r="O7" s="10">
        <v>7.984465138686188</v>
      </c>
      <c r="P7" s="10">
        <v>9.1082945758865463</v>
      </c>
      <c r="Q7" s="10">
        <v>10.322284510139008</v>
      </c>
      <c r="R7" s="10">
        <v>11.620993058066658</v>
      </c>
      <c r="S7" s="10">
        <v>12.996314344502728</v>
      </c>
      <c r="T7" s="10">
        <v>14.43734567902119</v>
      </c>
      <c r="U7" s="10">
        <v>15.930340470380131</v>
      </c>
      <c r="V7" s="10">
        <v>17.458761056470284</v>
      </c>
      <c r="W7" s="10">
        <v>19.00344239970255</v>
      </c>
      <c r="X7" s="10">
        <v>20.542873261617654</v>
      </c>
      <c r="Y7" s="10">
        <v>22.053596161277014</v>
      </c>
      <c r="Z7" s="10">
        <v>23.510721366844905</v>
      </c>
      <c r="AA7" s="10">
        <v>24.888543681827482</v>
      </c>
      <c r="AB7" s="10">
        <v>26.161244251541408</v>
      </c>
      <c r="AC7" s="10">
        <v>27.303653465517712</v>
      </c>
      <c r="AD7" s="10">
        <v>28.292045720969455</v>
      </c>
    </row>
    <row r="8" spans="1:30" x14ac:dyDescent="0.15">
      <c r="A8" s="2" t="s">
        <v>19</v>
      </c>
      <c r="B8" s="2">
        <v>397575.48729600001</v>
      </c>
      <c r="C8" s="10">
        <v>1</v>
      </c>
      <c r="D8" s="10">
        <v>1.2303679999999999</v>
      </c>
      <c r="E8" s="10">
        <v>1.5046170271999999</v>
      </c>
      <c r="F8" s="10">
        <v>1.8287596826037504</v>
      </c>
      <c r="G8" s="10">
        <v>2.2090758612367569</v>
      </c>
      <c r="H8" s="10">
        <v>2.6519867351112816</v>
      </c>
      <c r="I8" s="10">
        <v>3.1638944306163421</v>
      </c>
      <c r="J8" s="10">
        <v>3.7509866811615105</v>
      </c>
      <c r="K8" s="10">
        <v>4.4190074011829257</v>
      </c>
      <c r="L8" s="10">
        <v>5.1729961200023604</v>
      </c>
      <c r="M8" s="10">
        <v>6.017001474957465</v>
      </c>
      <c r="N8" s="10">
        <v>6.9537764005906428</v>
      </c>
      <c r="O8" s="10">
        <v>7.984465138686188</v>
      </c>
      <c r="P8" s="10">
        <v>9.1082945758865463</v>
      </c>
      <c r="Q8" s="10">
        <v>10.322284510139008</v>
      </c>
      <c r="R8" s="10">
        <v>11.620993058066658</v>
      </c>
      <c r="S8" s="10">
        <v>12.996314344502728</v>
      </c>
      <c r="T8" s="10">
        <v>14.43734567902119</v>
      </c>
      <c r="U8" s="10">
        <v>15.930340470380131</v>
      </c>
      <c r="V8" s="10">
        <v>17.458761056470284</v>
      </c>
      <c r="W8" s="10">
        <v>19.00344239970255</v>
      </c>
      <c r="X8" s="10">
        <v>20.542873261617654</v>
      </c>
      <c r="Y8" s="10">
        <v>22.053596161277014</v>
      </c>
      <c r="Z8" s="10">
        <v>23.510721366844905</v>
      </c>
      <c r="AA8" s="10">
        <v>24.888543681827482</v>
      </c>
      <c r="AB8" s="10">
        <v>26.161244251541408</v>
      </c>
      <c r="AC8" s="10">
        <v>27.303653465517712</v>
      </c>
      <c r="AD8" s="10">
        <v>28.292045720969455</v>
      </c>
    </row>
    <row r="9" spans="1:30" x14ac:dyDescent="0.15">
      <c r="A9" s="2" t="s">
        <v>13</v>
      </c>
      <c r="B9" s="2">
        <v>897631.00680614391</v>
      </c>
      <c r="C9" s="10">
        <v>1</v>
      </c>
      <c r="D9" s="10">
        <v>1.2303679999999999</v>
      </c>
      <c r="E9" s="10">
        <v>1.5046170271999999</v>
      </c>
      <c r="F9" s="10">
        <v>1.8287596826037504</v>
      </c>
      <c r="G9" s="10">
        <v>2.2090758612367569</v>
      </c>
      <c r="H9" s="10">
        <v>2.6519867351112816</v>
      </c>
      <c r="I9" s="10">
        <v>3.1638944306163421</v>
      </c>
      <c r="J9" s="10">
        <v>3.7509866811615105</v>
      </c>
      <c r="K9" s="10">
        <v>4.4190074011829257</v>
      </c>
      <c r="L9" s="10">
        <v>5.1729961200023604</v>
      </c>
      <c r="M9" s="10">
        <v>6.017001474957465</v>
      </c>
      <c r="N9" s="10">
        <v>6.9537764005906428</v>
      </c>
      <c r="O9" s="10">
        <v>7.984465138686188</v>
      </c>
      <c r="P9" s="10">
        <v>9.1082945758865463</v>
      </c>
      <c r="Q9" s="10">
        <v>10.322284510139008</v>
      </c>
      <c r="R9" s="10">
        <v>11.620993058066658</v>
      </c>
      <c r="S9" s="10">
        <v>12.996314344502728</v>
      </c>
      <c r="T9" s="10">
        <v>14.43734567902119</v>
      </c>
      <c r="U9" s="10">
        <v>15.930340470380131</v>
      </c>
      <c r="V9" s="10">
        <v>17.458761056470284</v>
      </c>
      <c r="W9" s="10">
        <v>19.00344239970255</v>
      </c>
      <c r="X9" s="10">
        <v>20.542873261617654</v>
      </c>
      <c r="Y9" s="10">
        <v>22.053596161277014</v>
      </c>
      <c r="Z9" s="10">
        <v>23.510721366844905</v>
      </c>
      <c r="AA9" s="10">
        <v>24.888543681827482</v>
      </c>
      <c r="AB9" s="10">
        <v>26.161244251541408</v>
      </c>
      <c r="AC9" s="10">
        <v>27.303653465517712</v>
      </c>
      <c r="AD9" s="10">
        <v>28.292045720969455</v>
      </c>
    </row>
    <row r="10" spans="1:30" x14ac:dyDescent="0.15">
      <c r="A10" s="2" t="s">
        <v>25</v>
      </c>
      <c r="B10" s="2">
        <v>5994275.5315871993</v>
      </c>
      <c r="C10" s="10">
        <v>1</v>
      </c>
      <c r="D10" s="10">
        <v>1.2303679999999999</v>
      </c>
      <c r="E10" s="10">
        <v>1.5046170271999999</v>
      </c>
      <c r="F10" s="10">
        <v>1.8287596826037504</v>
      </c>
      <c r="G10" s="10">
        <v>2.2090758612367569</v>
      </c>
      <c r="H10" s="10">
        <v>2.6519867351112816</v>
      </c>
      <c r="I10" s="10">
        <v>3.1638944306163421</v>
      </c>
      <c r="J10" s="10">
        <v>3.7509866811615105</v>
      </c>
      <c r="K10" s="10">
        <v>4.4190074011829257</v>
      </c>
      <c r="L10" s="10">
        <v>5.1729961200023604</v>
      </c>
      <c r="M10" s="10">
        <v>6.017001474957465</v>
      </c>
      <c r="N10" s="10">
        <v>6.9537764005906428</v>
      </c>
      <c r="O10" s="10">
        <v>7.984465138686188</v>
      </c>
      <c r="P10" s="10">
        <v>9.1082945758865463</v>
      </c>
      <c r="Q10" s="10">
        <v>10.322284510139008</v>
      </c>
      <c r="R10" s="10">
        <v>11.620993058066658</v>
      </c>
      <c r="S10" s="10">
        <v>12.996314344502728</v>
      </c>
      <c r="T10" s="10">
        <v>14.43734567902119</v>
      </c>
      <c r="U10" s="10">
        <v>15.930340470380131</v>
      </c>
      <c r="V10" s="10">
        <v>17.458761056470284</v>
      </c>
      <c r="W10" s="10">
        <v>19.00344239970255</v>
      </c>
      <c r="X10" s="10">
        <v>20.542873261617654</v>
      </c>
      <c r="Y10" s="10">
        <v>22.053596161277014</v>
      </c>
      <c r="Z10" s="10">
        <v>23.510721366844905</v>
      </c>
      <c r="AA10" s="10">
        <v>24.888543681827482</v>
      </c>
      <c r="AB10" s="10">
        <v>26.161244251541408</v>
      </c>
      <c r="AC10" s="10">
        <v>27.303653465517712</v>
      </c>
      <c r="AD10" s="10">
        <v>28.292045720969455</v>
      </c>
    </row>
    <row r="11" spans="1:30" x14ac:dyDescent="0.15">
      <c r="A11" s="2" t="s">
        <v>17</v>
      </c>
      <c r="B11" s="2">
        <v>5885112.7457899209</v>
      </c>
      <c r="C11" s="10">
        <v>1</v>
      </c>
      <c r="D11" s="10">
        <v>1.2303679999999999</v>
      </c>
      <c r="E11" s="10">
        <v>1.5046170271999999</v>
      </c>
      <c r="F11" s="10">
        <v>1.8287596826037504</v>
      </c>
      <c r="G11" s="10">
        <v>2.2090758612367569</v>
      </c>
      <c r="H11" s="10">
        <v>2.6519867351112816</v>
      </c>
      <c r="I11" s="10">
        <v>3.1638944306163421</v>
      </c>
      <c r="J11" s="10">
        <v>3.7509866811615105</v>
      </c>
      <c r="K11" s="10">
        <v>4.4190074011829257</v>
      </c>
      <c r="L11" s="10">
        <v>5.1729961200023604</v>
      </c>
      <c r="M11" s="10">
        <v>6.017001474957465</v>
      </c>
      <c r="N11" s="10">
        <v>6.9537764005906428</v>
      </c>
      <c r="O11" s="10">
        <v>7.984465138686188</v>
      </c>
      <c r="P11" s="10">
        <v>9.1082945758865463</v>
      </c>
      <c r="Q11" s="10">
        <v>10.322284510139008</v>
      </c>
      <c r="R11" s="10">
        <v>11.620993058066658</v>
      </c>
      <c r="S11" s="10">
        <v>12.996314344502728</v>
      </c>
      <c r="T11" s="10">
        <v>14.43734567902119</v>
      </c>
      <c r="U11" s="10">
        <v>15.930340470380131</v>
      </c>
      <c r="V11" s="10">
        <v>17.458761056470284</v>
      </c>
      <c r="W11" s="10">
        <v>19.00344239970255</v>
      </c>
      <c r="X11" s="10">
        <v>20.542873261617654</v>
      </c>
      <c r="Y11" s="10">
        <v>22.053596161277014</v>
      </c>
      <c r="Z11" s="10">
        <v>23.510721366844905</v>
      </c>
      <c r="AA11" s="10">
        <v>24.888543681827482</v>
      </c>
      <c r="AB11" s="10">
        <v>26.161244251541408</v>
      </c>
      <c r="AC11" s="10">
        <v>27.303653465517712</v>
      </c>
      <c r="AD11" s="10">
        <v>28.292045720969455</v>
      </c>
    </row>
    <row r="12" spans="1:30" x14ac:dyDescent="0.15">
      <c r="A12" s="2" t="s">
        <v>31</v>
      </c>
      <c r="B12" s="2">
        <v>2265259.3731263997</v>
      </c>
      <c r="C12" s="10">
        <v>1</v>
      </c>
      <c r="D12" s="10">
        <v>1.2303679999999999</v>
      </c>
      <c r="E12" s="10">
        <v>1.5046170271999999</v>
      </c>
      <c r="F12" s="10">
        <v>1.8287596826037504</v>
      </c>
      <c r="G12" s="10">
        <v>2.2090758612367569</v>
      </c>
      <c r="H12" s="10">
        <v>2.6519867351112816</v>
      </c>
      <c r="I12" s="10">
        <v>3.1638944306163421</v>
      </c>
      <c r="J12" s="10">
        <v>3.7509866811615105</v>
      </c>
      <c r="K12" s="10">
        <v>4.4190074011829257</v>
      </c>
      <c r="L12" s="10">
        <v>5.1729961200023604</v>
      </c>
      <c r="M12" s="10">
        <v>6.017001474957465</v>
      </c>
      <c r="N12" s="10">
        <v>6.9537764005906428</v>
      </c>
      <c r="O12" s="10">
        <v>7.984465138686188</v>
      </c>
      <c r="P12" s="10">
        <v>9.1082945758865463</v>
      </c>
      <c r="Q12" s="10">
        <v>10.322284510139008</v>
      </c>
      <c r="R12" s="10">
        <v>11.620993058066658</v>
      </c>
      <c r="S12" s="10">
        <v>12.996314344502728</v>
      </c>
      <c r="T12" s="10">
        <v>14.43734567902119</v>
      </c>
      <c r="U12" s="10">
        <v>15.930340470380131</v>
      </c>
      <c r="V12" s="10">
        <v>17.458761056470284</v>
      </c>
      <c r="W12" s="10">
        <v>19.00344239970255</v>
      </c>
      <c r="X12" s="10">
        <v>20.542873261617654</v>
      </c>
      <c r="Y12" s="10">
        <v>22.053596161277014</v>
      </c>
      <c r="Z12" s="10">
        <v>23.510721366844905</v>
      </c>
      <c r="AA12" s="10">
        <v>24.888543681827482</v>
      </c>
      <c r="AB12" s="10">
        <v>26.161244251541408</v>
      </c>
      <c r="AC12" s="10">
        <v>27.303653465517712</v>
      </c>
      <c r="AD12" s="10">
        <v>28.292045720969455</v>
      </c>
    </row>
    <row r="13" spans="1:30" x14ac:dyDescent="0.15">
      <c r="A13" s="2" t="s">
        <v>0</v>
      </c>
      <c r="B13" s="2">
        <v>4023117.6888614399</v>
      </c>
      <c r="C13" s="10">
        <v>1</v>
      </c>
      <c r="D13" s="10">
        <v>1.2303679999999999</v>
      </c>
      <c r="E13" s="10">
        <v>1.5046170271999999</v>
      </c>
      <c r="F13" s="10">
        <v>1.8287596826037504</v>
      </c>
      <c r="G13" s="10">
        <v>2.2090758612367569</v>
      </c>
      <c r="H13" s="10">
        <v>2.6519867351112816</v>
      </c>
      <c r="I13" s="10">
        <v>3.1638944306163421</v>
      </c>
      <c r="J13" s="10">
        <v>3.7509866811615105</v>
      </c>
      <c r="K13" s="10">
        <v>4.4190074011829257</v>
      </c>
      <c r="L13" s="10">
        <v>5.1729961200023604</v>
      </c>
      <c r="M13" s="10">
        <v>6.017001474957465</v>
      </c>
      <c r="N13" s="10">
        <v>6.9537764005906428</v>
      </c>
      <c r="O13" s="10">
        <v>7.984465138686188</v>
      </c>
      <c r="P13" s="10">
        <v>9.1082945758865463</v>
      </c>
      <c r="Q13" s="10">
        <v>10.322284510139008</v>
      </c>
      <c r="R13" s="10">
        <v>11.620993058066658</v>
      </c>
      <c r="S13" s="10">
        <v>12.996314344502728</v>
      </c>
      <c r="T13" s="10">
        <v>14.43734567902119</v>
      </c>
      <c r="U13" s="10">
        <v>15.930340470380131</v>
      </c>
      <c r="V13" s="10">
        <v>17.458761056470284</v>
      </c>
      <c r="W13" s="10">
        <v>19.00344239970255</v>
      </c>
      <c r="X13" s="10">
        <v>20.542873261617654</v>
      </c>
      <c r="Y13" s="10">
        <v>22.053596161277014</v>
      </c>
      <c r="Z13" s="10">
        <v>23.510721366844905</v>
      </c>
      <c r="AA13" s="10">
        <v>24.888543681827482</v>
      </c>
      <c r="AB13" s="10">
        <v>26.161244251541408</v>
      </c>
      <c r="AC13" s="10">
        <v>27.303653465517712</v>
      </c>
      <c r="AD13" s="10">
        <v>28.292045720969455</v>
      </c>
    </row>
    <row r="14" spans="1:30" x14ac:dyDescent="0.15">
      <c r="A14" s="2" t="s">
        <v>6</v>
      </c>
      <c r="B14" s="2">
        <v>2629416.2712479993</v>
      </c>
      <c r="C14" s="10">
        <v>1</v>
      </c>
      <c r="D14" s="10">
        <v>1.2303679999999999</v>
      </c>
      <c r="E14" s="10">
        <v>1.5046170271999999</v>
      </c>
      <c r="F14" s="10">
        <v>1.8287596826037504</v>
      </c>
      <c r="G14" s="10">
        <v>2.2090758612367569</v>
      </c>
      <c r="H14" s="10">
        <v>2.6519867351112816</v>
      </c>
      <c r="I14" s="10">
        <v>3.1638944306163421</v>
      </c>
      <c r="J14" s="10">
        <v>3.7509866811615105</v>
      </c>
      <c r="K14" s="10">
        <v>4.4190074011829257</v>
      </c>
      <c r="L14" s="10">
        <v>5.1729961200023604</v>
      </c>
      <c r="M14" s="10">
        <v>6.017001474957465</v>
      </c>
      <c r="N14" s="10">
        <v>6.9537764005906428</v>
      </c>
      <c r="O14" s="10">
        <v>7.984465138686188</v>
      </c>
      <c r="P14" s="10">
        <v>9.1082945758865463</v>
      </c>
      <c r="Q14" s="10">
        <v>10.322284510139008</v>
      </c>
      <c r="R14" s="10">
        <v>11.620993058066658</v>
      </c>
      <c r="S14" s="10">
        <v>12.996314344502728</v>
      </c>
      <c r="T14" s="10">
        <v>14.43734567902119</v>
      </c>
      <c r="U14" s="10">
        <v>15.930340470380131</v>
      </c>
      <c r="V14" s="10">
        <v>17.458761056470284</v>
      </c>
      <c r="W14" s="10">
        <v>19.00344239970255</v>
      </c>
      <c r="X14" s="10">
        <v>20.542873261617654</v>
      </c>
      <c r="Y14" s="10">
        <v>22.053596161277014</v>
      </c>
      <c r="Z14" s="10">
        <v>23.510721366844905</v>
      </c>
      <c r="AA14" s="10">
        <v>24.888543681827482</v>
      </c>
      <c r="AB14" s="10">
        <v>26.161244251541408</v>
      </c>
      <c r="AC14" s="10">
        <v>27.303653465517712</v>
      </c>
      <c r="AD14" s="10">
        <v>28.292045720969455</v>
      </c>
    </row>
    <row r="15" spans="1:30" x14ac:dyDescent="0.15">
      <c r="A15" s="2" t="s">
        <v>18</v>
      </c>
      <c r="B15" s="2">
        <v>991800.16116479994</v>
      </c>
      <c r="C15" s="10">
        <v>1</v>
      </c>
      <c r="D15" s="10">
        <v>1.2303679999999999</v>
      </c>
      <c r="E15" s="10">
        <v>1.5046170271999999</v>
      </c>
      <c r="F15" s="10">
        <v>1.8287596826037504</v>
      </c>
      <c r="G15" s="10">
        <v>2.2090758612367569</v>
      </c>
      <c r="H15" s="10">
        <v>2.6519867351112816</v>
      </c>
      <c r="I15" s="10">
        <v>3.1638944306163421</v>
      </c>
      <c r="J15" s="10">
        <v>3.7509866811615105</v>
      </c>
      <c r="K15" s="10">
        <v>4.4190074011829257</v>
      </c>
      <c r="L15" s="10">
        <v>5.1729961200023604</v>
      </c>
      <c r="M15" s="10">
        <v>6.017001474957465</v>
      </c>
      <c r="N15" s="10">
        <v>6.9537764005906428</v>
      </c>
      <c r="O15" s="10">
        <v>7.984465138686188</v>
      </c>
      <c r="P15" s="10">
        <v>9.1082945758865463</v>
      </c>
      <c r="Q15" s="10">
        <v>10.322284510139008</v>
      </c>
      <c r="R15" s="10">
        <v>11.620993058066658</v>
      </c>
      <c r="S15" s="10">
        <v>12.996314344502728</v>
      </c>
      <c r="T15" s="10">
        <v>14.43734567902119</v>
      </c>
      <c r="U15" s="10">
        <v>15.930340470380131</v>
      </c>
      <c r="V15" s="10">
        <v>17.458761056470284</v>
      </c>
      <c r="W15" s="10">
        <v>19.00344239970255</v>
      </c>
      <c r="X15" s="10">
        <v>20.542873261617654</v>
      </c>
      <c r="Y15" s="10">
        <v>22.053596161277014</v>
      </c>
      <c r="Z15" s="10">
        <v>23.510721366844905</v>
      </c>
      <c r="AA15" s="10">
        <v>24.888543681827482</v>
      </c>
      <c r="AB15" s="10">
        <v>26.161244251541408</v>
      </c>
      <c r="AC15" s="10">
        <v>27.303653465517712</v>
      </c>
      <c r="AD15" s="10">
        <v>28.292045720969455</v>
      </c>
    </row>
    <row r="16" spans="1:30" x14ac:dyDescent="0.15">
      <c r="A16" s="2" t="s">
        <v>24</v>
      </c>
      <c r="B16" s="2">
        <v>3983632.2686908795</v>
      </c>
      <c r="C16" s="10">
        <v>1</v>
      </c>
      <c r="D16" s="10">
        <v>1.2303679999999999</v>
      </c>
      <c r="E16" s="10">
        <v>1.5046170271999999</v>
      </c>
      <c r="F16" s="10">
        <v>1.8287596826037504</v>
      </c>
      <c r="G16" s="10">
        <v>2.2090758612367569</v>
      </c>
      <c r="H16" s="10">
        <v>2.6519867351112816</v>
      </c>
      <c r="I16" s="10">
        <v>3.1638944306163421</v>
      </c>
      <c r="J16" s="10">
        <v>3.7509866811615105</v>
      </c>
      <c r="K16" s="10">
        <v>4.4190074011829257</v>
      </c>
      <c r="L16" s="10">
        <v>5.1729961200023604</v>
      </c>
      <c r="M16" s="10">
        <v>6.017001474957465</v>
      </c>
      <c r="N16" s="10">
        <v>6.9537764005906428</v>
      </c>
      <c r="O16" s="10">
        <v>7.984465138686188</v>
      </c>
      <c r="P16" s="10">
        <v>9.1082945758865463</v>
      </c>
      <c r="Q16" s="10">
        <v>10.322284510139008</v>
      </c>
      <c r="R16" s="10">
        <v>11.620993058066658</v>
      </c>
      <c r="S16" s="10">
        <v>12.996314344502728</v>
      </c>
      <c r="T16" s="10">
        <v>14.43734567902119</v>
      </c>
      <c r="U16" s="10">
        <v>15.930340470380131</v>
      </c>
      <c r="V16" s="10">
        <v>17.458761056470284</v>
      </c>
      <c r="W16" s="10">
        <v>19.00344239970255</v>
      </c>
      <c r="X16" s="10">
        <v>20.542873261617654</v>
      </c>
      <c r="Y16" s="10">
        <v>22.053596161277014</v>
      </c>
      <c r="Z16" s="10">
        <v>23.510721366844905</v>
      </c>
      <c r="AA16" s="10">
        <v>24.888543681827482</v>
      </c>
      <c r="AB16" s="10">
        <v>26.161244251541408</v>
      </c>
      <c r="AC16" s="10">
        <v>27.303653465517712</v>
      </c>
      <c r="AD16" s="10">
        <v>28.292045720969455</v>
      </c>
    </row>
    <row r="17" spans="1:30" x14ac:dyDescent="0.15">
      <c r="A17" s="2" t="s">
        <v>14</v>
      </c>
      <c r="B17" s="2">
        <v>3869685.0822239998</v>
      </c>
      <c r="C17" s="10">
        <v>1</v>
      </c>
      <c r="D17" s="10">
        <v>1.2303679999999999</v>
      </c>
      <c r="E17" s="10">
        <v>1.5046170271999999</v>
      </c>
      <c r="F17" s="10">
        <v>1.8287596826037504</v>
      </c>
      <c r="G17" s="10">
        <v>2.2090758612367569</v>
      </c>
      <c r="H17" s="10">
        <v>2.6519867351112816</v>
      </c>
      <c r="I17" s="10">
        <v>3.1638944306163421</v>
      </c>
      <c r="J17" s="10">
        <v>3.7509866811615105</v>
      </c>
      <c r="K17" s="10">
        <v>4.4190074011829257</v>
      </c>
      <c r="L17" s="10">
        <v>5.1729961200023604</v>
      </c>
      <c r="M17" s="10">
        <v>6.017001474957465</v>
      </c>
      <c r="N17" s="10">
        <v>6.9537764005906428</v>
      </c>
      <c r="O17" s="10">
        <v>7.984465138686188</v>
      </c>
      <c r="P17" s="10">
        <v>9.1082945758865463</v>
      </c>
      <c r="Q17" s="10">
        <v>10.322284510139008</v>
      </c>
      <c r="R17" s="10">
        <v>11.620993058066658</v>
      </c>
      <c r="S17" s="10">
        <v>12.996314344502728</v>
      </c>
      <c r="T17" s="10">
        <v>14.43734567902119</v>
      </c>
      <c r="U17" s="10">
        <v>15.930340470380131</v>
      </c>
      <c r="V17" s="10">
        <v>17.458761056470284</v>
      </c>
      <c r="W17" s="10">
        <v>19.00344239970255</v>
      </c>
      <c r="X17" s="10">
        <v>20.542873261617654</v>
      </c>
      <c r="Y17" s="10">
        <v>22.053596161277014</v>
      </c>
      <c r="Z17" s="10">
        <v>23.510721366844905</v>
      </c>
      <c r="AA17" s="10">
        <v>24.888543681827482</v>
      </c>
      <c r="AB17" s="10">
        <v>26.161244251541408</v>
      </c>
      <c r="AC17" s="10">
        <v>27.303653465517712</v>
      </c>
      <c r="AD17" s="10">
        <v>28.292045720969455</v>
      </c>
    </row>
    <row r="18" spans="1:30" x14ac:dyDescent="0.15">
      <c r="A18" s="2" t="s">
        <v>15</v>
      </c>
      <c r="B18" s="2">
        <v>2021873.7049056001</v>
      </c>
      <c r="C18" s="10">
        <v>1</v>
      </c>
      <c r="D18" s="10">
        <v>1.2303679999999999</v>
      </c>
      <c r="E18" s="10">
        <v>1.5046170271999999</v>
      </c>
      <c r="F18" s="10">
        <v>1.8287596826037504</v>
      </c>
      <c r="G18" s="10">
        <v>2.2090758612367569</v>
      </c>
      <c r="H18" s="10">
        <v>2.6519867351112816</v>
      </c>
      <c r="I18" s="10">
        <v>3.1638944306163421</v>
      </c>
      <c r="J18" s="10">
        <v>3.7509866811615105</v>
      </c>
      <c r="K18" s="10">
        <v>4.4190074011829257</v>
      </c>
      <c r="L18" s="10">
        <v>5.1729961200023604</v>
      </c>
      <c r="M18" s="10">
        <v>6.017001474957465</v>
      </c>
      <c r="N18" s="10">
        <v>6.9537764005906428</v>
      </c>
      <c r="O18" s="10">
        <v>7.984465138686188</v>
      </c>
      <c r="P18" s="10">
        <v>9.1082945758865463</v>
      </c>
      <c r="Q18" s="10">
        <v>10.322284510139008</v>
      </c>
      <c r="R18" s="10">
        <v>11.620993058066658</v>
      </c>
      <c r="S18" s="10">
        <v>12.996314344502728</v>
      </c>
      <c r="T18" s="10">
        <v>14.43734567902119</v>
      </c>
      <c r="U18" s="10">
        <v>15.930340470380131</v>
      </c>
      <c r="V18" s="10">
        <v>17.458761056470284</v>
      </c>
      <c r="W18" s="10">
        <v>19.00344239970255</v>
      </c>
      <c r="X18" s="10">
        <v>20.542873261617654</v>
      </c>
      <c r="Y18" s="10">
        <v>22.053596161277014</v>
      </c>
      <c r="Z18" s="10">
        <v>23.510721366844905</v>
      </c>
      <c r="AA18" s="10">
        <v>24.888543681827482</v>
      </c>
      <c r="AB18" s="10">
        <v>26.161244251541408</v>
      </c>
      <c r="AC18" s="10">
        <v>27.303653465517712</v>
      </c>
      <c r="AD18" s="10">
        <v>28.292045720969455</v>
      </c>
    </row>
    <row r="19" spans="1:30" x14ac:dyDescent="0.15">
      <c r="A19" s="2" t="s">
        <v>16</v>
      </c>
      <c r="B19" s="2">
        <v>4934840.8736998076</v>
      </c>
      <c r="C19" s="10">
        <v>1</v>
      </c>
      <c r="D19" s="10">
        <v>1.2303679999999999</v>
      </c>
      <c r="E19" s="10">
        <v>1.5046170271999999</v>
      </c>
      <c r="F19" s="10">
        <v>1.8287596826037504</v>
      </c>
      <c r="G19" s="10">
        <v>2.2090758612367569</v>
      </c>
      <c r="H19" s="10">
        <v>2.6519867351112816</v>
      </c>
      <c r="I19" s="10">
        <v>3.1638944306163421</v>
      </c>
      <c r="J19" s="10">
        <v>3.7509866811615105</v>
      </c>
      <c r="K19" s="10">
        <v>4.4190074011829257</v>
      </c>
      <c r="L19" s="10">
        <v>5.1729961200023604</v>
      </c>
      <c r="M19" s="10">
        <v>6.017001474957465</v>
      </c>
      <c r="N19" s="10">
        <v>6.9537764005906428</v>
      </c>
      <c r="O19" s="10">
        <v>7.984465138686188</v>
      </c>
      <c r="P19" s="10">
        <v>9.1082945758865463</v>
      </c>
      <c r="Q19" s="10">
        <v>10.322284510139008</v>
      </c>
      <c r="R19" s="10">
        <v>11.620993058066658</v>
      </c>
      <c r="S19" s="10">
        <v>12.996314344502728</v>
      </c>
      <c r="T19" s="10">
        <v>14.43734567902119</v>
      </c>
      <c r="U19" s="10">
        <v>15.930340470380131</v>
      </c>
      <c r="V19" s="10">
        <v>17.458761056470284</v>
      </c>
      <c r="W19" s="10">
        <v>19.00344239970255</v>
      </c>
      <c r="X19" s="10">
        <v>20.542873261617654</v>
      </c>
      <c r="Y19" s="10">
        <v>22.053596161277014</v>
      </c>
      <c r="Z19" s="10">
        <v>23.510721366844905</v>
      </c>
      <c r="AA19" s="10">
        <v>24.888543681827482</v>
      </c>
      <c r="AB19" s="10">
        <v>26.161244251541408</v>
      </c>
      <c r="AC19" s="10">
        <v>27.303653465517712</v>
      </c>
      <c r="AD19" s="10">
        <v>28.292045720969455</v>
      </c>
    </row>
    <row r="20" spans="1:30" ht="15" x14ac:dyDescent="0.25">
      <c r="A20" s="6" t="s">
        <v>8</v>
      </c>
      <c r="B20" s="2">
        <v>15571158.902675997</v>
      </c>
      <c r="C20" s="10">
        <v>1</v>
      </c>
      <c r="D20" s="10">
        <v>1.2303679999999999</v>
      </c>
      <c r="E20" s="10">
        <v>1.5046170271999999</v>
      </c>
      <c r="F20" s="10">
        <v>1.8287596826037504</v>
      </c>
      <c r="G20" s="10">
        <v>2.2090758612367569</v>
      </c>
      <c r="H20" s="10">
        <v>2.6519867351112816</v>
      </c>
      <c r="I20" s="10">
        <v>3.1638944306163421</v>
      </c>
      <c r="J20" s="10">
        <v>3.7509866811615105</v>
      </c>
      <c r="K20" s="10">
        <v>4.4190074011829257</v>
      </c>
      <c r="L20" s="10">
        <v>5.1729961200023604</v>
      </c>
      <c r="M20" s="10">
        <v>6.017001474957465</v>
      </c>
      <c r="N20" s="10">
        <v>6.9537764005906428</v>
      </c>
      <c r="O20" s="10">
        <v>7.984465138686188</v>
      </c>
      <c r="P20" s="10">
        <v>9.1082945758865463</v>
      </c>
      <c r="Q20" s="10">
        <v>10.322284510139008</v>
      </c>
      <c r="R20" s="10">
        <v>11.620993058066658</v>
      </c>
      <c r="S20" s="10">
        <v>12.996314344502728</v>
      </c>
      <c r="T20" s="10">
        <v>14.43734567902119</v>
      </c>
      <c r="U20" s="10">
        <v>15.930340470380131</v>
      </c>
      <c r="V20" s="10">
        <v>17.458761056470284</v>
      </c>
      <c r="W20" s="10">
        <v>19.00344239970255</v>
      </c>
      <c r="X20" s="10">
        <v>20.542873261617654</v>
      </c>
      <c r="Y20" s="10">
        <v>22.053596161277014</v>
      </c>
      <c r="Z20" s="10">
        <v>23.510721366844905</v>
      </c>
      <c r="AA20" s="10">
        <v>24.888543681827482</v>
      </c>
      <c r="AB20" s="10">
        <v>26.161244251541408</v>
      </c>
      <c r="AC20" s="10">
        <v>27.303653465517712</v>
      </c>
      <c r="AD20" s="10">
        <v>28.292045720969455</v>
      </c>
    </row>
    <row r="21" spans="1:30" x14ac:dyDescent="0.15">
      <c r="A21" s="2" t="s">
        <v>9</v>
      </c>
      <c r="B21" s="2">
        <v>1185572.8564617599</v>
      </c>
      <c r="C21" s="10">
        <v>1</v>
      </c>
      <c r="D21" s="10">
        <v>1.2303679999999999</v>
      </c>
      <c r="E21" s="10">
        <v>1.5046170271999999</v>
      </c>
      <c r="F21" s="10">
        <v>1.8287596826037504</v>
      </c>
      <c r="G21" s="10">
        <v>2.2090758612367569</v>
      </c>
      <c r="H21" s="10">
        <v>2.6519867351112816</v>
      </c>
      <c r="I21" s="10">
        <v>3.1638944306163421</v>
      </c>
      <c r="J21" s="10">
        <v>3.7509866811615105</v>
      </c>
      <c r="K21" s="10">
        <v>4.4190074011829257</v>
      </c>
      <c r="L21" s="10">
        <v>5.1729961200023604</v>
      </c>
      <c r="M21" s="10">
        <v>6.017001474957465</v>
      </c>
      <c r="N21" s="10">
        <v>6.9537764005906428</v>
      </c>
      <c r="O21" s="10">
        <v>7.984465138686188</v>
      </c>
      <c r="P21" s="10">
        <v>9.1082945758865463</v>
      </c>
      <c r="Q21" s="10">
        <v>10.322284510139008</v>
      </c>
      <c r="R21" s="10">
        <v>11.620993058066658</v>
      </c>
      <c r="S21" s="10">
        <v>12.996314344502728</v>
      </c>
      <c r="T21" s="10">
        <v>14.43734567902119</v>
      </c>
      <c r="U21" s="10">
        <v>15.930340470380131</v>
      </c>
      <c r="V21" s="10">
        <v>17.458761056470284</v>
      </c>
      <c r="W21" s="10">
        <v>19.00344239970255</v>
      </c>
      <c r="X21" s="10">
        <v>20.542873261617654</v>
      </c>
      <c r="Y21" s="10">
        <v>22.053596161277014</v>
      </c>
      <c r="Z21" s="10">
        <v>23.510721366844905</v>
      </c>
      <c r="AA21" s="10">
        <v>24.888543681827482</v>
      </c>
      <c r="AB21" s="10">
        <v>26.161244251541408</v>
      </c>
      <c r="AC21" s="10">
        <v>27.303653465517712</v>
      </c>
      <c r="AD21" s="10">
        <v>28.292045720969455</v>
      </c>
    </row>
    <row r="22" spans="1:30" x14ac:dyDescent="0.15">
      <c r="A22" s="2" t="s">
        <v>11</v>
      </c>
      <c r="B22" s="2">
        <v>503030.41363199998</v>
      </c>
      <c r="C22" s="10">
        <v>1</v>
      </c>
      <c r="D22" s="10">
        <v>1.2303679999999999</v>
      </c>
      <c r="E22" s="10">
        <v>1.5046170271999999</v>
      </c>
      <c r="F22" s="10">
        <v>1.8287596826037504</v>
      </c>
      <c r="G22" s="10">
        <v>2.2090758612367569</v>
      </c>
      <c r="H22" s="10">
        <v>2.6519867351112816</v>
      </c>
      <c r="I22" s="10">
        <v>3.1638944306163421</v>
      </c>
      <c r="J22" s="10">
        <v>3.7509866811615105</v>
      </c>
      <c r="K22" s="10">
        <v>4.4190074011829257</v>
      </c>
      <c r="L22" s="10">
        <v>5.1729961200023604</v>
      </c>
      <c r="M22" s="10">
        <v>6.017001474957465</v>
      </c>
      <c r="N22" s="10">
        <v>6.9537764005906428</v>
      </c>
      <c r="O22" s="10">
        <v>7.984465138686188</v>
      </c>
      <c r="P22" s="10">
        <v>9.1082945758865463</v>
      </c>
      <c r="Q22" s="10">
        <v>10.322284510139008</v>
      </c>
      <c r="R22" s="10">
        <v>11.620993058066658</v>
      </c>
      <c r="S22" s="10">
        <v>12.996314344502728</v>
      </c>
      <c r="T22" s="10">
        <v>14.43734567902119</v>
      </c>
      <c r="U22" s="10">
        <v>15.930340470380131</v>
      </c>
      <c r="V22" s="10">
        <v>17.458761056470284</v>
      </c>
      <c r="W22" s="10">
        <v>19.00344239970255</v>
      </c>
      <c r="X22" s="10">
        <v>20.542873261617654</v>
      </c>
      <c r="Y22" s="10">
        <v>22.053596161277014</v>
      </c>
      <c r="Z22" s="10">
        <v>23.510721366844905</v>
      </c>
      <c r="AA22" s="10">
        <v>24.888543681827482</v>
      </c>
      <c r="AB22" s="10">
        <v>26.161244251541408</v>
      </c>
      <c r="AC22" s="10">
        <v>27.303653465517712</v>
      </c>
      <c r="AD22" s="10">
        <v>28.292045720969455</v>
      </c>
    </row>
    <row r="23" spans="1:30" x14ac:dyDescent="0.15">
      <c r="A23" s="2" t="s">
        <v>5</v>
      </c>
      <c r="B23" s="2">
        <v>1701337.1726472001</v>
      </c>
      <c r="C23" s="10">
        <v>1</v>
      </c>
      <c r="D23" s="10">
        <v>1.2303679999999999</v>
      </c>
      <c r="E23" s="10">
        <v>1.5046170271999999</v>
      </c>
      <c r="F23" s="10">
        <v>1.8287596826037504</v>
      </c>
      <c r="G23" s="10">
        <v>2.2090758612367569</v>
      </c>
      <c r="H23" s="10">
        <v>2.6519867351112816</v>
      </c>
      <c r="I23" s="10">
        <v>3.1638944306163421</v>
      </c>
      <c r="J23" s="10">
        <v>3.7509866811615105</v>
      </c>
      <c r="K23" s="10">
        <v>4.4190074011829257</v>
      </c>
      <c r="L23" s="10">
        <v>5.1729961200023604</v>
      </c>
      <c r="M23" s="10">
        <v>6.017001474957465</v>
      </c>
      <c r="N23" s="10">
        <v>6.9537764005906428</v>
      </c>
      <c r="O23" s="10">
        <v>7.984465138686188</v>
      </c>
      <c r="P23" s="10">
        <v>9.1082945758865463</v>
      </c>
      <c r="Q23" s="10">
        <v>10.322284510139008</v>
      </c>
      <c r="R23" s="10">
        <v>11.620993058066658</v>
      </c>
      <c r="S23" s="10">
        <v>12.996314344502728</v>
      </c>
      <c r="T23" s="10">
        <v>14.43734567902119</v>
      </c>
      <c r="U23" s="10">
        <v>15.930340470380131</v>
      </c>
      <c r="V23" s="10">
        <v>17.458761056470284</v>
      </c>
      <c r="W23" s="10">
        <v>19.00344239970255</v>
      </c>
      <c r="X23" s="10">
        <v>20.542873261617654</v>
      </c>
      <c r="Y23" s="10">
        <v>22.053596161277014</v>
      </c>
      <c r="Z23" s="10">
        <v>23.510721366844905</v>
      </c>
      <c r="AA23" s="10">
        <v>24.888543681827482</v>
      </c>
      <c r="AB23" s="10">
        <v>26.161244251541408</v>
      </c>
      <c r="AC23" s="10">
        <v>27.303653465517712</v>
      </c>
      <c r="AD23" s="10">
        <v>28.292045720969455</v>
      </c>
    </row>
    <row r="24" spans="1:30" x14ac:dyDescent="0.15">
      <c r="A24" s="2" t="s">
        <v>27</v>
      </c>
      <c r="B24" s="2">
        <v>7058020.2867840007</v>
      </c>
      <c r="C24" s="10">
        <v>1</v>
      </c>
      <c r="D24" s="10">
        <v>1.2303679999999999</v>
      </c>
      <c r="E24" s="10">
        <v>1.5046170271999999</v>
      </c>
      <c r="F24" s="10">
        <v>1.8287596826037504</v>
      </c>
      <c r="G24" s="10">
        <v>2.2090758612367569</v>
      </c>
      <c r="H24" s="10">
        <v>2.6519867351112816</v>
      </c>
      <c r="I24" s="10">
        <v>3.1638944306163421</v>
      </c>
      <c r="J24" s="10">
        <v>3.7509866811615105</v>
      </c>
      <c r="K24" s="10">
        <v>4.4190074011829257</v>
      </c>
      <c r="L24" s="10">
        <v>5.1729961200023604</v>
      </c>
      <c r="M24" s="10">
        <v>6.017001474957465</v>
      </c>
      <c r="N24" s="10">
        <v>6.9537764005906428</v>
      </c>
      <c r="O24" s="10">
        <v>7.984465138686188</v>
      </c>
      <c r="P24" s="10">
        <v>9.1082945758865463</v>
      </c>
      <c r="Q24" s="10">
        <v>10.322284510139008</v>
      </c>
      <c r="R24" s="10">
        <v>11.620993058066658</v>
      </c>
      <c r="S24" s="10">
        <v>12.996314344502728</v>
      </c>
      <c r="T24" s="10">
        <v>14.43734567902119</v>
      </c>
      <c r="U24" s="10">
        <v>15.930340470380131</v>
      </c>
      <c r="V24" s="10">
        <v>17.458761056470284</v>
      </c>
      <c r="W24" s="10">
        <v>19.00344239970255</v>
      </c>
      <c r="X24" s="10">
        <v>20.542873261617654</v>
      </c>
      <c r="Y24" s="10">
        <v>22.053596161277014</v>
      </c>
      <c r="Z24" s="10">
        <v>23.510721366844905</v>
      </c>
      <c r="AA24" s="10">
        <v>24.888543681827482</v>
      </c>
      <c r="AB24" s="10">
        <v>26.161244251541408</v>
      </c>
      <c r="AC24" s="10">
        <v>27.303653465517712</v>
      </c>
      <c r="AD24" s="10">
        <v>28.292045720969455</v>
      </c>
    </row>
    <row r="25" spans="1:30" x14ac:dyDescent="0.15">
      <c r="A25" s="2" t="s">
        <v>10</v>
      </c>
      <c r="B25" s="2">
        <v>682320.40156799997</v>
      </c>
      <c r="C25" s="10">
        <v>1</v>
      </c>
      <c r="D25" s="10">
        <v>1.2303679999999999</v>
      </c>
      <c r="E25" s="10">
        <v>1.5046170271999999</v>
      </c>
      <c r="F25" s="10">
        <v>1.8287596826037504</v>
      </c>
      <c r="G25" s="10">
        <v>2.2090758612367569</v>
      </c>
      <c r="H25" s="10">
        <v>2.6519867351112816</v>
      </c>
      <c r="I25" s="10">
        <v>3.1638944306163421</v>
      </c>
      <c r="J25" s="10">
        <v>3.7509866811615105</v>
      </c>
      <c r="K25" s="10">
        <v>4.4190074011829257</v>
      </c>
      <c r="L25" s="10">
        <v>5.1729961200023604</v>
      </c>
      <c r="M25" s="10">
        <v>6.017001474957465</v>
      </c>
      <c r="N25" s="10">
        <v>6.9537764005906428</v>
      </c>
      <c r="O25" s="10">
        <v>7.984465138686188</v>
      </c>
      <c r="P25" s="10">
        <v>9.1082945758865463</v>
      </c>
      <c r="Q25" s="10">
        <v>10.322284510139008</v>
      </c>
      <c r="R25" s="10">
        <v>11.620993058066658</v>
      </c>
      <c r="S25" s="10">
        <v>12.996314344502728</v>
      </c>
      <c r="T25" s="10">
        <v>14.43734567902119</v>
      </c>
      <c r="U25" s="10">
        <v>15.930340470380131</v>
      </c>
      <c r="V25" s="10">
        <v>17.458761056470284</v>
      </c>
      <c r="W25" s="10">
        <v>19.00344239970255</v>
      </c>
      <c r="X25" s="10">
        <v>20.542873261617654</v>
      </c>
      <c r="Y25" s="10">
        <v>22.053596161277014</v>
      </c>
      <c r="Z25" s="10">
        <v>23.510721366844905</v>
      </c>
      <c r="AA25" s="10">
        <v>24.888543681827482</v>
      </c>
      <c r="AB25" s="10">
        <v>26.161244251541408</v>
      </c>
      <c r="AC25" s="10">
        <v>27.303653465517712</v>
      </c>
      <c r="AD25" s="10">
        <v>28.292045720969455</v>
      </c>
    </row>
    <row r="26" spans="1:30" x14ac:dyDescent="0.15">
      <c r="A26" s="2" t="s">
        <v>30</v>
      </c>
      <c r="B26" s="2">
        <v>412813.17791999999</v>
      </c>
      <c r="C26" s="10">
        <v>1</v>
      </c>
      <c r="D26" s="10">
        <v>1.2303679999999999</v>
      </c>
      <c r="E26" s="10">
        <v>1.5046170271999999</v>
      </c>
      <c r="F26" s="10">
        <v>1.8287596826037504</v>
      </c>
      <c r="G26" s="10">
        <v>2.2090758612367569</v>
      </c>
      <c r="H26" s="10">
        <v>2.6519867351112816</v>
      </c>
      <c r="I26" s="10">
        <v>3.1638944306163421</v>
      </c>
      <c r="J26" s="10">
        <v>3.7509866811615105</v>
      </c>
      <c r="K26" s="10">
        <v>4.4190074011829257</v>
      </c>
      <c r="L26" s="10">
        <v>5.1729961200023604</v>
      </c>
      <c r="M26" s="10">
        <v>6.017001474957465</v>
      </c>
      <c r="N26" s="10">
        <v>6.9537764005906428</v>
      </c>
      <c r="O26" s="10">
        <v>7.984465138686188</v>
      </c>
      <c r="P26" s="10">
        <v>9.1082945758865463</v>
      </c>
      <c r="Q26" s="10">
        <v>10.322284510139008</v>
      </c>
      <c r="R26" s="10">
        <v>11.620993058066658</v>
      </c>
      <c r="S26" s="10">
        <v>12.996314344502728</v>
      </c>
      <c r="T26" s="10">
        <v>14.43734567902119</v>
      </c>
      <c r="U26" s="10">
        <v>15.930340470380131</v>
      </c>
      <c r="V26" s="10">
        <v>17.458761056470284</v>
      </c>
      <c r="W26" s="10">
        <v>19.00344239970255</v>
      </c>
      <c r="X26" s="10">
        <v>20.542873261617654</v>
      </c>
      <c r="Y26" s="10">
        <v>22.053596161277014</v>
      </c>
      <c r="Z26" s="10">
        <v>23.510721366844905</v>
      </c>
      <c r="AA26" s="10">
        <v>24.888543681827482</v>
      </c>
      <c r="AB26" s="10">
        <v>26.161244251541408</v>
      </c>
      <c r="AC26" s="10">
        <v>27.303653465517712</v>
      </c>
      <c r="AD26" s="10">
        <v>28.292045720969455</v>
      </c>
    </row>
    <row r="27" spans="1:30" x14ac:dyDescent="0.15">
      <c r="A27" s="2" t="s">
        <v>23</v>
      </c>
      <c r="B27" s="2">
        <v>4821327.8574240003</v>
      </c>
      <c r="C27" s="10">
        <v>1</v>
      </c>
      <c r="D27" s="10">
        <v>1.2303679999999999</v>
      </c>
      <c r="E27" s="10">
        <v>1.5046170271999999</v>
      </c>
      <c r="F27" s="10">
        <v>1.8287596826037504</v>
      </c>
      <c r="G27" s="10">
        <v>2.2090758612367569</v>
      </c>
      <c r="H27" s="10">
        <v>2.6519867351112816</v>
      </c>
      <c r="I27" s="10">
        <v>3.1638944306163421</v>
      </c>
      <c r="J27" s="10">
        <v>3.7509866811615105</v>
      </c>
      <c r="K27" s="10">
        <v>4.4190074011829257</v>
      </c>
      <c r="L27" s="10">
        <v>5.1729961200023604</v>
      </c>
      <c r="M27" s="10">
        <v>6.017001474957465</v>
      </c>
      <c r="N27" s="10">
        <v>6.9537764005906428</v>
      </c>
      <c r="O27" s="10">
        <v>7.984465138686188</v>
      </c>
      <c r="P27" s="10">
        <v>9.1082945758865463</v>
      </c>
      <c r="Q27" s="10">
        <v>10.322284510139008</v>
      </c>
      <c r="R27" s="10">
        <v>11.620993058066658</v>
      </c>
      <c r="S27" s="10">
        <v>12.996314344502728</v>
      </c>
      <c r="T27" s="10">
        <v>14.43734567902119</v>
      </c>
      <c r="U27" s="10">
        <v>15.930340470380131</v>
      </c>
      <c r="V27" s="10">
        <v>17.458761056470284</v>
      </c>
      <c r="W27" s="10">
        <v>19.00344239970255</v>
      </c>
      <c r="X27" s="10">
        <v>20.542873261617654</v>
      </c>
      <c r="Y27" s="10">
        <v>22.053596161277014</v>
      </c>
      <c r="Z27" s="10">
        <v>23.510721366844905</v>
      </c>
      <c r="AA27" s="10">
        <v>24.888543681827482</v>
      </c>
      <c r="AB27" s="10">
        <v>26.161244251541408</v>
      </c>
      <c r="AC27" s="10">
        <v>27.303653465517712</v>
      </c>
      <c r="AD27" s="10">
        <v>28.292045720969455</v>
      </c>
    </row>
    <row r="28" spans="1:30" x14ac:dyDescent="0.15">
      <c r="A28" s="2" t="s">
        <v>7</v>
      </c>
      <c r="B28" s="2">
        <v>6716700.4788000006</v>
      </c>
      <c r="C28" s="10">
        <v>1</v>
      </c>
      <c r="D28" s="10">
        <v>1.2303679999999999</v>
      </c>
      <c r="E28" s="10">
        <v>1.5046170271999999</v>
      </c>
      <c r="F28" s="10">
        <v>1.8287596826037504</v>
      </c>
      <c r="G28" s="10">
        <v>2.2090758612367569</v>
      </c>
      <c r="H28" s="10">
        <v>2.6519867351112816</v>
      </c>
      <c r="I28" s="10">
        <v>3.1638944306163421</v>
      </c>
      <c r="J28" s="10">
        <v>3.7509866811615105</v>
      </c>
      <c r="K28" s="10">
        <v>4.4190074011829257</v>
      </c>
      <c r="L28" s="10">
        <v>5.1729961200023604</v>
      </c>
      <c r="M28" s="10">
        <v>6.017001474957465</v>
      </c>
      <c r="N28" s="10">
        <v>6.9537764005906428</v>
      </c>
      <c r="O28" s="10">
        <v>7.984465138686188</v>
      </c>
      <c r="P28" s="10">
        <v>9.1082945758865463</v>
      </c>
      <c r="Q28" s="10">
        <v>10.322284510139008</v>
      </c>
      <c r="R28" s="10">
        <v>11.620993058066658</v>
      </c>
      <c r="S28" s="10">
        <v>12.996314344502728</v>
      </c>
      <c r="T28" s="10">
        <v>14.43734567902119</v>
      </c>
      <c r="U28" s="10">
        <v>15.930340470380131</v>
      </c>
      <c r="V28" s="10">
        <v>17.458761056470284</v>
      </c>
      <c r="W28" s="10">
        <v>19.00344239970255</v>
      </c>
      <c r="X28" s="10">
        <v>20.542873261617654</v>
      </c>
      <c r="Y28" s="10">
        <v>22.053596161277014</v>
      </c>
      <c r="Z28" s="10">
        <v>23.510721366844905</v>
      </c>
      <c r="AA28" s="10">
        <v>24.888543681827482</v>
      </c>
      <c r="AB28" s="10">
        <v>26.161244251541408</v>
      </c>
      <c r="AC28" s="10">
        <v>27.303653465517712</v>
      </c>
      <c r="AD28" s="10">
        <v>28.292045720969455</v>
      </c>
    </row>
    <row r="29" spans="1:30" x14ac:dyDescent="0.15">
      <c r="A29" s="2" t="s">
        <v>22</v>
      </c>
      <c r="B29" s="2">
        <v>30079.352160000002</v>
      </c>
      <c r="C29" s="10">
        <v>1</v>
      </c>
      <c r="D29" s="10">
        <v>1.2303679999999999</v>
      </c>
      <c r="E29" s="10">
        <v>1.5046170271999999</v>
      </c>
      <c r="F29" s="10">
        <v>1.8287596826037504</v>
      </c>
      <c r="G29" s="10">
        <v>2.2090758612367569</v>
      </c>
      <c r="H29" s="10">
        <v>2.6519867351112816</v>
      </c>
      <c r="I29" s="10">
        <v>3.1638944306163421</v>
      </c>
      <c r="J29" s="10">
        <v>3.7509866811615105</v>
      </c>
      <c r="K29" s="10">
        <v>4.4190074011829257</v>
      </c>
      <c r="L29" s="10">
        <v>5.1729961200023604</v>
      </c>
      <c r="M29" s="10">
        <v>6.017001474957465</v>
      </c>
      <c r="N29" s="10">
        <v>6.9537764005906428</v>
      </c>
      <c r="O29" s="10">
        <v>7.984465138686188</v>
      </c>
      <c r="P29" s="10">
        <v>9.1082945758865463</v>
      </c>
      <c r="Q29" s="10">
        <v>10.322284510139008</v>
      </c>
      <c r="R29" s="10">
        <v>11.620993058066658</v>
      </c>
      <c r="S29" s="10">
        <v>12.996314344502728</v>
      </c>
      <c r="T29" s="10">
        <v>14.43734567902119</v>
      </c>
      <c r="U29" s="10">
        <v>15.930340470380131</v>
      </c>
      <c r="V29" s="10">
        <v>17.458761056470284</v>
      </c>
      <c r="W29" s="10">
        <v>19.00344239970255</v>
      </c>
      <c r="X29" s="10">
        <v>20.542873261617654</v>
      </c>
      <c r="Y29" s="10">
        <v>22.053596161277014</v>
      </c>
      <c r="Z29" s="10">
        <v>23.510721366844905</v>
      </c>
      <c r="AA29" s="10">
        <v>24.888543681827482</v>
      </c>
      <c r="AB29" s="10">
        <v>26.161244251541408</v>
      </c>
      <c r="AC29" s="10">
        <v>27.303653465517712</v>
      </c>
      <c r="AD29" s="10">
        <v>28.292045720969455</v>
      </c>
    </row>
    <row r="30" spans="1:30" ht="15" x14ac:dyDescent="0.25">
      <c r="A30" s="6" t="s">
        <v>21</v>
      </c>
      <c r="B30" s="2">
        <v>70719.48</v>
      </c>
      <c r="C30" s="10">
        <v>1</v>
      </c>
      <c r="D30" s="10">
        <v>1.2303679999999999</v>
      </c>
      <c r="E30" s="10">
        <v>1.5046170271999999</v>
      </c>
      <c r="F30" s="10">
        <v>1.8287596826037504</v>
      </c>
      <c r="G30" s="10">
        <v>2.2090758612367569</v>
      </c>
      <c r="H30" s="10">
        <v>2.6519867351112816</v>
      </c>
      <c r="I30" s="10">
        <v>3.1638944306163421</v>
      </c>
      <c r="J30" s="10">
        <v>3.7509866811615105</v>
      </c>
      <c r="K30" s="10">
        <v>4.4190074011829257</v>
      </c>
      <c r="L30" s="10">
        <v>5.1729961200023604</v>
      </c>
      <c r="M30" s="10">
        <v>6.017001474957465</v>
      </c>
      <c r="N30" s="10">
        <v>6.9537764005906428</v>
      </c>
      <c r="O30" s="10">
        <v>7.984465138686188</v>
      </c>
      <c r="P30" s="10">
        <v>9.1082945758865463</v>
      </c>
      <c r="Q30" s="10">
        <v>10.322284510139008</v>
      </c>
      <c r="R30" s="10">
        <v>11.620993058066658</v>
      </c>
      <c r="S30" s="10">
        <v>12.996314344502728</v>
      </c>
      <c r="T30" s="10">
        <v>14.43734567902119</v>
      </c>
      <c r="U30" s="10">
        <v>15.930340470380131</v>
      </c>
      <c r="V30" s="10">
        <v>17.458761056470284</v>
      </c>
      <c r="W30" s="10">
        <v>19.00344239970255</v>
      </c>
      <c r="X30" s="10">
        <v>20.542873261617654</v>
      </c>
      <c r="Y30" s="10">
        <v>22.053596161277014</v>
      </c>
      <c r="Z30" s="10">
        <v>23.510721366844905</v>
      </c>
      <c r="AA30" s="10">
        <v>24.888543681827482</v>
      </c>
      <c r="AB30" s="10">
        <v>26.161244251541408</v>
      </c>
      <c r="AC30" s="10">
        <v>27.303653465517712</v>
      </c>
      <c r="AD30" s="10">
        <v>28.292045720969455</v>
      </c>
    </row>
    <row r="31" spans="1:30" x14ac:dyDescent="0.15">
      <c r="A31" s="2" t="s">
        <v>29</v>
      </c>
      <c r="B31" s="2">
        <v>677021.15520000004</v>
      </c>
      <c r="C31" s="10">
        <v>1</v>
      </c>
      <c r="D31" s="10">
        <v>1.2303679999999999</v>
      </c>
      <c r="E31" s="10">
        <v>1.5046170271999999</v>
      </c>
      <c r="F31" s="10">
        <v>1.8287596826037504</v>
      </c>
      <c r="G31" s="10">
        <v>2.2090758612367569</v>
      </c>
      <c r="H31" s="10">
        <v>2.6519867351112816</v>
      </c>
      <c r="I31" s="10">
        <v>3.1638944306163421</v>
      </c>
      <c r="J31" s="10">
        <v>3.7509866811615105</v>
      </c>
      <c r="K31" s="10">
        <v>4.4190074011829257</v>
      </c>
      <c r="L31" s="10">
        <v>5.1729961200023604</v>
      </c>
      <c r="M31" s="10">
        <v>6.017001474957465</v>
      </c>
      <c r="N31" s="10">
        <v>6.9537764005906428</v>
      </c>
      <c r="O31" s="10">
        <v>7.984465138686188</v>
      </c>
      <c r="P31" s="10">
        <v>9.1082945758865463</v>
      </c>
      <c r="Q31" s="10">
        <v>10.322284510139008</v>
      </c>
      <c r="R31" s="10">
        <v>11.620993058066658</v>
      </c>
      <c r="S31" s="10">
        <v>12.996314344502728</v>
      </c>
      <c r="T31" s="10">
        <v>14.43734567902119</v>
      </c>
      <c r="U31" s="10">
        <v>15.930340470380131</v>
      </c>
      <c r="V31" s="10">
        <v>17.458761056470284</v>
      </c>
      <c r="W31" s="10">
        <v>19.00344239970255</v>
      </c>
      <c r="X31" s="10">
        <v>20.542873261617654</v>
      </c>
      <c r="Y31" s="10">
        <v>22.053596161277014</v>
      </c>
      <c r="Z31" s="10">
        <v>23.510721366844905</v>
      </c>
      <c r="AA31" s="10">
        <v>24.888543681827482</v>
      </c>
      <c r="AB31" s="10">
        <v>26.161244251541408</v>
      </c>
      <c r="AC31" s="10">
        <v>27.303653465517712</v>
      </c>
      <c r="AD31" s="10">
        <v>28.292045720969455</v>
      </c>
    </row>
    <row r="32" spans="1:30" x14ac:dyDescent="0.15">
      <c r="A32" s="2" t="s">
        <v>33</v>
      </c>
      <c r="B32" s="2">
        <v>0</v>
      </c>
      <c r="C32" s="10">
        <v>1</v>
      </c>
      <c r="D32" s="10">
        <v>1.2303679999999999</v>
      </c>
      <c r="E32" s="10">
        <v>1.5046170271999999</v>
      </c>
      <c r="F32" s="10">
        <v>1.8287596826037504</v>
      </c>
      <c r="G32" s="10">
        <v>2.2090758612367569</v>
      </c>
      <c r="H32" s="10">
        <v>2.6519867351112816</v>
      </c>
      <c r="I32" s="10">
        <v>3.1638944306163421</v>
      </c>
      <c r="J32" s="10">
        <v>3.7509866811615105</v>
      </c>
      <c r="K32" s="10">
        <v>4.4190074011829257</v>
      </c>
      <c r="L32" s="10">
        <v>5.1729961200023604</v>
      </c>
      <c r="M32" s="10">
        <v>6.017001474957465</v>
      </c>
      <c r="N32" s="10">
        <v>6.9537764005906428</v>
      </c>
      <c r="O32" s="10">
        <v>7.984465138686188</v>
      </c>
      <c r="P32" s="10">
        <v>9.1082945758865463</v>
      </c>
      <c r="Q32" s="10">
        <v>10.322284510139008</v>
      </c>
      <c r="R32" s="10">
        <v>11.620993058066658</v>
      </c>
      <c r="S32" s="10">
        <v>12.996314344502728</v>
      </c>
      <c r="T32" s="10">
        <v>14.43734567902119</v>
      </c>
      <c r="U32" s="10">
        <v>15.930340470380131</v>
      </c>
      <c r="V32" s="10">
        <v>17.458761056470284</v>
      </c>
      <c r="W32" s="10">
        <v>19.00344239970255</v>
      </c>
      <c r="X32" s="10">
        <v>20.542873261617654</v>
      </c>
      <c r="Y32" s="10">
        <v>22.053596161277014</v>
      </c>
      <c r="Z32" s="10">
        <v>23.510721366844905</v>
      </c>
      <c r="AA32" s="10">
        <v>24.888543681827482</v>
      </c>
      <c r="AB32" s="10">
        <v>26.161244251541408</v>
      </c>
      <c r="AC32" s="10">
        <v>27.303653465517712</v>
      </c>
      <c r="AD32" s="10">
        <v>28.292045720969455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9B52-1BA3-4D29-8EA8-5D744EBCC6C4}">
  <dimension ref="A1:AD32"/>
  <sheetViews>
    <sheetView zoomScale="115" zoomScaleNormal="115" workbookViewId="0">
      <selection activeCell="A2" sqref="A2:A32"/>
    </sheetView>
  </sheetViews>
  <sheetFormatPr defaultRowHeight="13.5" x14ac:dyDescent="0.15"/>
  <sheetData>
    <row r="1" spans="1:30" ht="15" x14ac:dyDescent="0.25">
      <c r="A1" s="5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1"/>
    </row>
    <row r="2" spans="1:30" ht="15" x14ac:dyDescent="0.25">
      <c r="A2" s="2" t="s">
        <v>4</v>
      </c>
      <c r="B2" s="7">
        <v>1.6047089996101904</v>
      </c>
      <c r="C2" s="7">
        <f>1+($B2-1)*(C$1-$B$1)^[1]PUE!$E2</f>
        <v>1.6047089996101904</v>
      </c>
      <c r="D2" s="7">
        <f>1+($B2-1)*(D$1-$B$1)^[1]PUE!$E2</f>
        <v>1.4791693821178122</v>
      </c>
      <c r="E2" s="7">
        <f>1+($B2-1)*(E$1-$B$1)^[1]PUE!$E2</f>
        <v>1.4181906192433447</v>
      </c>
      <c r="F2" s="7">
        <f>1+($B2-1)*(F$1-$B$1)^[1]PUE!$E2</f>
        <v>1.3796922104800382</v>
      </c>
      <c r="G2" s="7">
        <f>1+($B2-1)*(G$1-$B$1)^[1]PUE!$E2</f>
        <v>1.3522885111648442</v>
      </c>
      <c r="H2" s="7">
        <f>1+($B2-1)*(H$1-$B$1)^[1]PUE!$E2</f>
        <v>1.3313728433998353</v>
      </c>
      <c r="I2" s="7">
        <f>1+($B2-1)*(I$1-$B$1)^[1]PUE!$E2</f>
        <v>1.3146607117000255</v>
      </c>
      <c r="J2" s="7">
        <f>1+($B2-1)*(J$1-$B$1)^[1]PUE!$E2</f>
        <v>1.3008668334818019</v>
      </c>
      <c r="K2" s="7">
        <f>1+($B2-1)*(K$1-$B$1)^[1]PUE!$E2</f>
        <v>1.2892025654254624</v>
      </c>
      <c r="L2" s="7">
        <f>1+($B2-1)*(L$1-$B$1)^[1]PUE!$E2</f>
        <v>1.2791522341008297</v>
      </c>
      <c r="M2" s="7">
        <f>1+($B2-1)*(M$1-$B$1)^[1]PUE!$E2</f>
        <v>1.2703618211280916</v>
      </c>
      <c r="N2" s="7">
        <f>1+($B2-1)*(N$1-$B$1)^[1]PUE!$E2</f>
        <v>1.2625787291488588</v>
      </c>
      <c r="O2" s="7">
        <f>1+($B2-1)*(O$1-$B$1)^[1]PUE!$E2</f>
        <v>1.2556169908089814</v>
      </c>
      <c r="P2" s="7">
        <f>1+($B2-1)*(P$1-$B$1)^[1]PUE!$E2</f>
        <v>1.2493360920694843</v>
      </c>
      <c r="Q2" s="7">
        <f>1+($B2-1)*(Q$1-$B$1)^[1]PUE!$E2</f>
        <v>1.2436275146083662</v>
      </c>
      <c r="R2" s="7">
        <f>1+($B2-1)*(R$1-$B$1)^[1]PUE!$E2</f>
        <v>1.2384058692563706</v>
      </c>
      <c r="S2" s="7">
        <f>1+($B2-1)*(S$1-$B$1)^[1]PUE!$E2</f>
        <v>1.233602872125162</v>
      </c>
      <c r="T2" s="7">
        <f>1+($B2-1)*(T$1-$B$1)^[1]PUE!$E2</f>
        <v>1.2291631423893725</v>
      </c>
      <c r="U2" s="7">
        <f>1+($B2-1)*(U$1-$B$1)^[1]PUE!$E2</f>
        <v>1.2250412025869839</v>
      </c>
      <c r="V2" s="7">
        <f>1+($B2-1)*(V$1-$B$1)^[1]PUE!$E2</f>
        <v>1.2211992935728211</v>
      </c>
      <c r="W2" s="7">
        <f>1+($B2-1)*(W$1-$B$1)^[1]PUE!$E2</f>
        <v>1.2176057541101752</v>
      </c>
      <c r="X2" s="7">
        <f>1+($B2-1)*(X$1-$B$1)^[1]PUE!$E2</f>
        <v>1.2142337998305044</v>
      </c>
      <c r="Y2" s="7">
        <f>1+($B2-1)*(Y$1-$B$1)^[1]PUE!$E2</f>
        <v>1.2110605898334912</v>
      </c>
      <c r="Z2" s="7">
        <f>1+($B2-1)*(Z$1-$B$1)^[1]PUE!$E2</f>
        <v>1.2080665038632554</v>
      </c>
      <c r="AA2" s="7">
        <f>1+($B2-1)*(AA$1-$B$1)^[1]PUE!$E2</f>
        <v>1.2052345759344494</v>
      </c>
      <c r="AB2" s="7">
        <f>1+($B2-1)*(AB$1-$B$1)^[1]PUE!$E2</f>
        <v>1.2025500457636815</v>
      </c>
      <c r="AC2" s="7">
        <f>1+($B2-1)*(AC$1-$B$1)^[1]PUE!$E2</f>
        <v>1.2</v>
      </c>
      <c r="AD2" s="8" t="s">
        <v>2</v>
      </c>
    </row>
    <row r="3" spans="1:30" ht="15" x14ac:dyDescent="0.25">
      <c r="A3" s="2" t="s">
        <v>28</v>
      </c>
      <c r="B3" s="7">
        <v>1.6072891297319769</v>
      </c>
      <c r="C3" s="7">
        <f>1+($B3-1)*(C$1-$B$1)^[1]PUE!$E3</f>
        <v>1.6072891297319769</v>
      </c>
      <c r="D3" s="7">
        <f>1+($B3-1)*(D$1-$B$1)^[1]PUE!$E3</f>
        <v>1.4807831696558771</v>
      </c>
      <c r="E3" s="7">
        <f>1+($B3-1)*(E$1-$B$1)^[1]PUE!$E3</f>
        <v>1.4193793126203489</v>
      </c>
      <c r="F3" s="7">
        <f>1+($B3-1)*(F$1-$B$1)^[1]PUE!$E3</f>
        <v>1.3806299913953168</v>
      </c>
      <c r="G3" s="7">
        <f>1+($B3-1)*(G$1-$B$1)^[1]PUE!$E3</f>
        <v>1.3530568212912928</v>
      </c>
      <c r="H3" s="7">
        <f>1+($B3-1)*(H$1-$B$1)^[1]PUE!$E3</f>
        <v>1.3320173297004387</v>
      </c>
      <c r="I3" s="7">
        <f>1+($B3-1)*(I$1-$B$1)^[1]PUE!$E3</f>
        <v>1.3152099186816251</v>
      </c>
      <c r="J3" s="7">
        <f>1+($B3-1)*(J$1-$B$1)^[1]PUE!$E3</f>
        <v>1.3013399792120364</v>
      </c>
      <c r="K3" s="7">
        <f>1+($B3-1)*(K$1-$B$1)^[1]PUE!$E3</f>
        <v>1.2896132982514266</v>
      </c>
      <c r="L3" s="7">
        <f>1+($B3-1)*(L$1-$B$1)^[1]PUE!$E3</f>
        <v>1.2795106470685085</v>
      </c>
      <c r="M3" s="7">
        <f>1+($B3-1)*(M$1-$B$1)^[1]PUE!$E3</f>
        <v>1.2706756189811557</v>
      </c>
      <c r="N3" s="7">
        <f>1+($B3-1)*(N$1-$B$1)^[1]PUE!$E3</f>
        <v>1.2628539460676798</v>
      </c>
      <c r="O3" s="7">
        <f>1+($B3-1)*(O$1-$B$1)^[1]PUE!$E3</f>
        <v>1.2558584534262145</v>
      </c>
      <c r="P3" s="7">
        <f>1+($B3-1)*(P$1-$B$1)^[1]PUE!$E3</f>
        <v>1.2495477300534055</v>
      </c>
      <c r="Q3" s="7">
        <f>1+($B3-1)*(Q$1-$B$1)^[1]PUE!$E3</f>
        <v>1.2438125758885477</v>
      </c>
      <c r="R3" s="7">
        <f>1+($B3-1)*(R$1-$B$1)^[1]PUE!$E3</f>
        <v>1.238567073337111</v>
      </c>
      <c r="S3" s="7">
        <f>1+($B3-1)*(S$1-$B$1)^[1]PUE!$E3</f>
        <v>1.2337425219105675</v>
      </c>
      <c r="T3" s="7">
        <f>1+($B3-1)*(T$1-$B$1)^[1]PUE!$E3</f>
        <v>1.2292832074390445</v>
      </c>
      <c r="U3" s="7">
        <f>1+($B3-1)*(U$1-$B$1)^[1]PUE!$E3</f>
        <v>1.2251433822264803</v>
      </c>
      <c r="V3" s="7">
        <f>1+($B3-1)*(V$1-$B$1)^[1]PUE!$E3</f>
        <v>1.2212850654999738</v>
      </c>
      <c r="W3" s="7">
        <f>1+($B3-1)*(W$1-$B$1)^[1]PUE!$E3</f>
        <v>1.2176764123641703</v>
      </c>
      <c r="X3" s="7">
        <f>1+($B3-1)*(X$1-$B$1)^[1]PUE!$E3</f>
        <v>1.2142904848301193</v>
      </c>
      <c r="Y3" s="7">
        <f>1+($B3-1)*(Y$1-$B$1)^[1]PUE!$E3</f>
        <v>1.2111043124142016</v>
      </c>
      <c r="Z3" s="7">
        <f>1+($B3-1)*(Z$1-$B$1)^[1]PUE!$E3</f>
        <v>1.2080981647123326</v>
      </c>
      <c r="AA3" s="7">
        <f>1+($B3-1)*(AA$1-$B$1)^[1]PUE!$E3</f>
        <v>1.2052549814539326</v>
      </c>
      <c r="AB3" s="7">
        <f>1+($B3-1)*(AB$1-$B$1)^[1]PUE!$E3</f>
        <v>1.2025599211298195</v>
      </c>
      <c r="AC3" s="7">
        <f>1+($B3-1)*(AC$1-$B$1)^[1]PUE!$E3</f>
        <v>1.2</v>
      </c>
      <c r="AD3" s="8" t="s">
        <v>2</v>
      </c>
    </row>
    <row r="4" spans="1:30" ht="15" x14ac:dyDescent="0.25">
      <c r="A4" s="2" t="s">
        <v>12</v>
      </c>
      <c r="B4" s="7">
        <v>1.6027058899512794</v>
      </c>
      <c r="C4" s="7">
        <f>1+($B4-1)*(C$1-$B$1)^[1]PUE!$E4</f>
        <v>1.6027058899512794</v>
      </c>
      <c r="D4" s="7">
        <f>1+($B4-1)*(D$1-$B$1)^[1]PUE!$E4</f>
        <v>1.4779155035203475</v>
      </c>
      <c r="E4" s="7">
        <f>1+($B4-1)*(E$1-$B$1)^[1]PUE!$E4</f>
        <v>1.4172665992336677</v>
      </c>
      <c r="F4" s="7">
        <f>1+($B4-1)*(F$1-$B$1)^[1]PUE!$E4</f>
        <v>1.3789629939132844</v>
      </c>
      <c r="G4" s="7">
        <f>1+($B4-1)*(G$1-$B$1)^[1]PUE!$E4</f>
        <v>1.3516909214972306</v>
      </c>
      <c r="H4" s="7">
        <f>1+($B4-1)*(H$1-$B$1)^[1]PUE!$E4</f>
        <v>1.3308714585336168</v>
      </c>
      <c r="I4" s="7">
        <f>1+($B4-1)*(I$1-$B$1)^[1]PUE!$E4</f>
        <v>1.3142333746713821</v>
      </c>
      <c r="J4" s="7">
        <f>1+($B4-1)*(J$1-$B$1)^[1]PUE!$E4</f>
        <v>1.3004986230784741</v>
      </c>
      <c r="K4" s="7">
        <f>1+($B4-1)*(K$1-$B$1)^[1]PUE!$E4</f>
        <v>1.2888828825782752</v>
      </c>
      <c r="L4" s="7">
        <f>1+($B4-1)*(L$1-$B$1)^[1]PUE!$E4</f>
        <v>1.2788732392253057</v>
      </c>
      <c r="M4" s="7">
        <f>1+($B4-1)*(M$1-$B$1)^[1]PUE!$E4</f>
        <v>1.2701175286731976</v>
      </c>
      <c r="N4" s="7">
        <f>1+($B4-1)*(N$1-$B$1)^[1]PUE!$E4</f>
        <v>1.262364450625143</v>
      </c>
      <c r="O4" s="7">
        <f>1+($B4-1)*(O$1-$B$1)^[1]PUE!$E4</f>
        <v>1.2554289754303283</v>
      </c>
      <c r="P4" s="7">
        <f>1+($B4-1)*(P$1-$B$1)^[1]PUE!$E4</f>
        <v>1.2491712856682242</v>
      </c>
      <c r="Q4" s="7">
        <f>1+($B4-1)*(Q$1-$B$1)^[1]PUE!$E4</f>
        <v>1.2434833925488382</v>
      </c>
      <c r="R4" s="7">
        <f>1+($B4-1)*(R$1-$B$1)^[1]PUE!$E4</f>
        <v>1.2382803173988051</v>
      </c>
      <c r="S4" s="7">
        <f>1+($B4-1)*(S$1-$B$1)^[1]PUE!$E4</f>
        <v>1.2334940999924608</v>
      </c>
      <c r="T4" s="7">
        <f>1+($B4-1)*(T$1-$B$1)^[1]PUE!$E4</f>
        <v>1.2290696185115535</v>
      </c>
      <c r="U4" s="7">
        <f>1+($B4-1)*(U$1-$B$1)^[1]PUE!$E4</f>
        <v>1.2249616054853842</v>
      </c>
      <c r="V4" s="7">
        <f>1+($B4-1)*(V$1-$B$1)^[1]PUE!$E4</f>
        <v>1.2211324740056648</v>
      </c>
      <c r="W4" s="7">
        <f>1+($B4-1)*(W$1-$B$1)^[1]PUE!$E4</f>
        <v>1.2175507055778827</v>
      </c>
      <c r="X4" s="7">
        <f>1+($B4-1)*(X$1-$B$1)^[1]PUE!$E4</f>
        <v>1.2141896352397661</v>
      </c>
      <c r="Y4" s="7">
        <f>1+($B4-1)*(Y$1-$B$1)^[1]PUE!$E4</f>
        <v>1.2110265228219543</v>
      </c>
      <c r="Z4" s="7">
        <f>1+($B4-1)*(Z$1-$B$1)^[1]PUE!$E4</f>
        <v>1.2080418336985068</v>
      </c>
      <c r="AA4" s="7">
        <f>1+($B4-1)*(AA$1-$B$1)^[1]PUE!$E4</f>
        <v>1.2052186751876104</v>
      </c>
      <c r="AB4" s="7">
        <f>1+($B4-1)*(AB$1-$B$1)^[1]PUE!$E4</f>
        <v>1.2025423501607722</v>
      </c>
      <c r="AC4" s="7">
        <f>1+($B4-1)*(AC$1-$B$1)^[1]PUE!$E4</f>
        <v>1.2</v>
      </c>
      <c r="AD4" s="8" t="s">
        <v>2</v>
      </c>
    </row>
    <row r="5" spans="1:30" ht="15" x14ac:dyDescent="0.25">
      <c r="A5" s="2" t="s">
        <v>26</v>
      </c>
      <c r="B5" s="7">
        <v>1.6234287658657944</v>
      </c>
      <c r="C5" s="7">
        <f>1+($B5-1)*(C$1-$B$1)^[1]PUE!$E5</f>
        <v>1.6234287658657944</v>
      </c>
      <c r="D5" s="7">
        <f>1+($B5-1)*(D$1-$B$1)^[1]PUE!$E5</f>
        <v>1.4908455709032409</v>
      </c>
      <c r="E5" s="7">
        <f>1+($B5-1)*(E$1-$B$1)^[1]PUE!$E5</f>
        <v>1.4267772134472809</v>
      </c>
      <c r="F5" s="7">
        <f>1+($B5-1)*(F$1-$B$1)^[1]PUE!$E5</f>
        <v>1.3864585461351542</v>
      </c>
      <c r="G5" s="7">
        <f>1+($B5-1)*(G$1-$B$1)^[1]PUE!$E5</f>
        <v>1.357827134915091</v>
      </c>
      <c r="H5" s="7">
        <f>1+($B5-1)*(H$1-$B$1)^[1]PUE!$E5</f>
        <v>1.3360154623152567</v>
      </c>
      <c r="I5" s="7">
        <f>1+($B5-1)*(I$1-$B$1)^[1]PUE!$E5</f>
        <v>1.3186145448095901</v>
      </c>
      <c r="J5" s="7">
        <f>1+($B5-1)*(J$1-$B$1)^[1]PUE!$E5</f>
        <v>1.3042712753953691</v>
      </c>
      <c r="K5" s="7">
        <f>1+($B5-1)*(K$1-$B$1)^[1]PUE!$E5</f>
        <v>1.2921565379885518</v>
      </c>
      <c r="L5" s="7">
        <f>1+($B5-1)*(L$1-$B$1)^[1]PUE!$E5</f>
        <v>1.2817288420725175</v>
      </c>
      <c r="M5" s="7">
        <f>1+($B5-1)*(M$1-$B$1)^[1]PUE!$E5</f>
        <v>1.2726168370711368</v>
      </c>
      <c r="N5" s="7">
        <f>1+($B5-1)*(N$1-$B$1)^[1]PUE!$E5</f>
        <v>1.2645558088796203</v>
      </c>
      <c r="O5" s="7">
        <f>1+($B5-1)*(O$1-$B$1)^[1]PUE!$E5</f>
        <v>1.2573510361405351</v>
      </c>
      <c r="P5" s="7">
        <f>1+($B5-1)*(P$1-$B$1)^[1]PUE!$E5</f>
        <v>1.2508555054047756</v>
      </c>
      <c r="Q5" s="7">
        <f>1+($B5-1)*(Q$1-$B$1)^[1]PUE!$E5</f>
        <v>1.2449557606197486</v>
      </c>
      <c r="R5" s="7">
        <f>1+($B5-1)*(R$1-$B$1)^[1]PUE!$E5</f>
        <v>1.239562586871469</v>
      </c>
      <c r="S5" s="7">
        <f>1+($B5-1)*(S$1-$B$1)^[1]PUE!$E5</f>
        <v>1.2346046852844426</v>
      </c>
      <c r="T5" s="7">
        <f>1+($B5-1)*(T$1-$B$1)^[1]PUE!$E5</f>
        <v>1.2300242634504543</v>
      </c>
      <c r="U5" s="7">
        <f>1+($B5-1)*(U$1-$B$1)^[1]PUE!$E5</f>
        <v>1.2257738895678856</v>
      </c>
      <c r="V5" s="7">
        <f>1+($B5-1)*(V$1-$B$1)^[1]PUE!$E5</f>
        <v>1.2218142021966989</v>
      </c>
      <c r="W5" s="7">
        <f>1+($B5-1)*(W$1-$B$1)^[1]PUE!$E5</f>
        <v>1.2181122127221227</v>
      </c>
      <c r="X5" s="7">
        <f>1+($B5-1)*(X$1-$B$1)^[1]PUE!$E5</f>
        <v>1.2146400268267759</v>
      </c>
      <c r="Y5" s="7">
        <f>1+($B5-1)*(Y$1-$B$1)^[1]PUE!$E5</f>
        <v>1.2113738676031114</v>
      </c>
      <c r="Z5" s="7">
        <f>1+($B5-1)*(Z$1-$B$1)^[1]PUE!$E5</f>
        <v>1.2082933193898209</v>
      </c>
      <c r="AA5" s="7">
        <f>1+($B5-1)*(AA$1-$B$1)^[1]PUE!$E5</f>
        <v>1.2053807355259349</v>
      </c>
      <c r="AB5" s="7">
        <f>1+($B5-1)*(AB$1-$B$1)^[1]PUE!$E5</f>
        <v>1.202620769482001</v>
      </c>
      <c r="AC5" s="7">
        <f>1+($B5-1)*(AC$1-$B$1)^[1]PUE!$E5</f>
        <v>1.2</v>
      </c>
      <c r="AD5" s="8" t="s">
        <v>2</v>
      </c>
    </row>
    <row r="6" spans="1:30" ht="15" x14ac:dyDescent="0.25">
      <c r="A6" s="2" t="s">
        <v>32</v>
      </c>
      <c r="B6" s="7">
        <v>1.6000000000000003</v>
      </c>
      <c r="C6" s="7">
        <f>1+($B6-1)*(C$1-$B$1)^[1]PUE!$E6</f>
        <v>1.6000000000000003</v>
      </c>
      <c r="D6" s="7">
        <f>1+($B6-1)*(D$1-$B$1)^[1]PUE!$E6</f>
        <v>1.4762203155904601</v>
      </c>
      <c r="E6" s="7">
        <f>1+($B6-1)*(E$1-$B$1)^[1]PUE!$E6</f>
        <v>1.416016764610381</v>
      </c>
      <c r="F6" s="7">
        <f>1+($B6-1)*(F$1-$B$1)^[1]PUE!$E6</f>
        <v>1.3779763149684621</v>
      </c>
      <c r="G6" s="7">
        <f>1+($B6-1)*(G$1-$B$1)^[1]PUE!$E6</f>
        <v>1.3508821285855439</v>
      </c>
      <c r="H6" s="7">
        <f>1+($B6-1)*(H$1-$B$1)^[1]PUE!$E6</f>
        <v>1.3301927248894627</v>
      </c>
      <c r="I6" s="7">
        <f>1+($B6-1)*(I$1-$B$1)^[1]PUE!$E6</f>
        <v>1.3136547751448262</v>
      </c>
      <c r="J6" s="7">
        <f>1+($B6-1)*(J$1-$B$1)^[1]PUE!$E6</f>
        <v>1.3</v>
      </c>
      <c r="K6" s="7">
        <f>1+($B6-1)*(K$1-$B$1)^[1]PUE!$E6</f>
        <v>1.2884499140614816</v>
      </c>
      <c r="L6" s="7">
        <f>1+($B6-1)*(L$1-$B$1)^[1]PUE!$E6</f>
        <v>1.2784953300167667</v>
      </c>
      <c r="M6" s="7">
        <f>1+($B6-1)*(M$1-$B$1)^[1]PUE!$E6</f>
        <v>1.2697865878135655</v>
      </c>
      <c r="N6" s="7">
        <f>1+($B6-1)*(N$1-$B$1)^[1]PUE!$E6</f>
        <v>1.2620741394208896</v>
      </c>
      <c r="O6" s="7">
        <f>1+($B6-1)*(O$1-$B$1)^[1]PUE!$E6</f>
        <v>1.2551742221697941</v>
      </c>
      <c r="P6" s="7">
        <f>1+($B6-1)*(P$1-$B$1)^[1]PUE!$E6</f>
        <v>1.2489479600098732</v>
      </c>
      <c r="Q6" s="7">
        <f>1+($B6-1)*(Q$1-$B$1)^[1]PUE!$E6</f>
        <v>1.243288079822936</v>
      </c>
      <c r="R6" s="7">
        <f>1+($B6-1)*(R$1-$B$1)^[1]PUE!$E6</f>
        <v>1.23811015779523</v>
      </c>
      <c r="S6" s="7">
        <f>1+($B6-1)*(S$1-$B$1)^[1]PUE!$E6</f>
        <v>1.2333466712396921</v>
      </c>
      <c r="T6" s="7">
        <f>1+($B6-1)*(T$1-$B$1)^[1]PUE!$E6</f>
        <v>1.2289428485106664</v>
      </c>
      <c r="U6" s="7">
        <f>1+($B6-1)*(U$1-$B$1)^[1]PUE!$E6</f>
        <v>1.2248537060705893</v>
      </c>
      <c r="V6" s="7">
        <f>1+($B6-1)*(V$1-$B$1)^[1]PUE!$E6</f>
        <v>1.2210418899184232</v>
      </c>
      <c r="W6" s="7">
        <f>1+($B6-1)*(W$1-$B$1)^[1]PUE!$E6</f>
        <v>1.2174760746005784</v>
      </c>
      <c r="X6" s="7">
        <f>1+($B6-1)*(X$1-$B$1)^[1]PUE!$E6</f>
        <v>1.2141297566510825</v>
      </c>
      <c r="Y6" s="7">
        <f>1+($B6-1)*(Y$1-$B$1)^[1]PUE!$E6</f>
        <v>1.2109803321501755</v>
      </c>
      <c r="Z6" s="7">
        <f>1+($B6-1)*(Z$1-$B$1)^[1]PUE!$E6</f>
        <v>1.2080083823051904</v>
      </c>
      <c r="AA6" s="7">
        <f>1+($B6-1)*(AA$1-$B$1)^[1]PUE!$E6</f>
        <v>1.2051971136012036</v>
      </c>
      <c r="AB6" s="7">
        <f>1+($B6-1)*(AB$1-$B$1)^[1]PUE!$E6</f>
        <v>1.202531914353749</v>
      </c>
      <c r="AC6" s="7">
        <f>1+($B6-1)*(AC$1-$B$1)^[1]PUE!$E6</f>
        <v>1.2</v>
      </c>
      <c r="AD6" s="8" t="s">
        <v>2</v>
      </c>
    </row>
    <row r="7" spans="1:30" ht="15" x14ac:dyDescent="0.25">
      <c r="A7" s="2" t="s">
        <v>20</v>
      </c>
      <c r="B7" s="7">
        <v>1.6160720611742341</v>
      </c>
      <c r="C7" s="7">
        <f>1+($B7-1)*(C$1-$B$1)^[1]PUE!$E7</f>
        <v>1.6160720611742341</v>
      </c>
      <c r="D7" s="7">
        <f>1+($B7-1)*(D$1-$B$1)^[1]PUE!$E7</f>
        <v>1.4862658480804001</v>
      </c>
      <c r="E7" s="7">
        <f>1+($B7-1)*(E$1-$B$1)^[1]PUE!$E7</f>
        <v>1.4234131494106075</v>
      </c>
      <c r="F7" s="7">
        <f>1+($B7-1)*(F$1-$B$1)^[1]PUE!$E7</f>
        <v>1.3838097682252757</v>
      </c>
      <c r="G7" s="7">
        <f>1+($B7-1)*(G$1-$B$1)^[1]PUE!$E7</f>
        <v>1.3556603229414357</v>
      </c>
      <c r="H7" s="7">
        <f>1+($B7-1)*(H$1-$B$1)^[1]PUE!$E7</f>
        <v>1.3342001158015719</v>
      </c>
      <c r="I7" s="7">
        <f>1+($B7-1)*(I$1-$B$1)^[1]PUE!$E7</f>
        <v>1.3170691966624284</v>
      </c>
      <c r="J7" s="7">
        <f>1+($B7-1)*(J$1-$B$1)^[1]PUE!$E7</f>
        <v>1.302941156091191</v>
      </c>
      <c r="K7" s="7">
        <f>1+($B7-1)*(K$1-$B$1)^[1]PUE!$E7</f>
        <v>1.2910028004712695</v>
      </c>
      <c r="L7" s="7">
        <f>1+($B7-1)*(L$1-$B$1)^[1]PUE!$E7</f>
        <v>1.2807227911521128</v>
      </c>
      <c r="M7" s="7">
        <f>1+($B7-1)*(M$1-$B$1)^[1]PUE!$E7</f>
        <v>1.271736590045091</v>
      </c>
      <c r="N7" s="7">
        <f>1+($B7-1)*(N$1-$B$1)^[1]PUE!$E7</f>
        <v>1.2637842437280387</v>
      </c>
      <c r="O7" s="7">
        <f>1+($B7-1)*(O$1-$B$1)^[1]PUE!$E7</f>
        <v>1.2566744690765719</v>
      </c>
      <c r="P7" s="7">
        <f>1+($B7-1)*(P$1-$B$1)^[1]PUE!$E7</f>
        <v>1.2502628045189386</v>
      </c>
      <c r="Q7" s="7">
        <f>1+($B7-1)*(Q$1-$B$1)^[1]PUE!$E7</f>
        <v>1.244437732121791</v>
      </c>
      <c r="R7" s="7">
        <f>1+($B7-1)*(R$1-$B$1)^[1]PUE!$E7</f>
        <v>1.2391115381930597</v>
      </c>
      <c r="S7" s="7">
        <f>1+($B7-1)*(S$1-$B$1)^[1]PUE!$E7</f>
        <v>1.2342141066198562</v>
      </c>
      <c r="T7" s="7">
        <f>1+($B7-1)*(T$1-$B$1)^[1]PUE!$E7</f>
        <v>1.229688590804175</v>
      </c>
      <c r="U7" s="7">
        <f>1+($B7-1)*(U$1-$B$1)^[1]PUE!$E7</f>
        <v>1.2254883252416264</v>
      </c>
      <c r="V7" s="7">
        <f>1+($B7-1)*(V$1-$B$1)^[1]PUE!$E7</f>
        <v>1.2215745766086175</v>
      </c>
      <c r="W7" s="7">
        <f>1+($B7-1)*(W$1-$B$1)^[1]PUE!$E7</f>
        <v>1.2179148765227998</v>
      </c>
      <c r="X7" s="7">
        <f>1+($B7-1)*(X$1-$B$1)^[1]PUE!$E7</f>
        <v>1.2144817655923243</v>
      </c>
      <c r="Y7" s="7">
        <f>1+($B7-1)*(Y$1-$B$1)^[1]PUE!$E7</f>
        <v>1.2112518336038318</v>
      </c>
      <c r="Z7" s="7">
        <f>1+($B7-1)*(Z$1-$B$1)^[1]PUE!$E7</f>
        <v>1.2082049764473659</v>
      </c>
      <c r="AA7" s="7">
        <f>1+($B7-1)*(AA$1-$B$1)^[1]PUE!$E7</f>
        <v>1.2053238140254374</v>
      </c>
      <c r="AB7" s="7">
        <f>1+($B7-1)*(AB$1-$B$1)^[1]PUE!$E7</f>
        <v>1.2025932293508226</v>
      </c>
      <c r="AC7" s="7">
        <f>1+($B7-1)*(AC$1-$B$1)^[1]PUE!$E7</f>
        <v>1.2</v>
      </c>
      <c r="AD7" s="8" t="s">
        <v>2</v>
      </c>
    </row>
    <row r="8" spans="1:30" ht="15" x14ac:dyDescent="0.25">
      <c r="A8" s="2" t="s">
        <v>19</v>
      </c>
      <c r="B8" s="7">
        <v>1.607209942130728</v>
      </c>
      <c r="C8" s="7">
        <f>1+($B8-1)*(C$1-$B$1)^[1]PUE!$E8</f>
        <v>1.607209942130728</v>
      </c>
      <c r="D8" s="7">
        <f>1+($B8-1)*(D$1-$B$1)^[1]PUE!$E8</f>
        <v>1.4807336618618752</v>
      </c>
      <c r="E8" s="7">
        <f>1+($B8-1)*(E$1-$B$1)^[1]PUE!$E8</f>
        <v>1.4193428551221265</v>
      </c>
      <c r="F8" s="7">
        <f>1+($B8-1)*(F$1-$B$1)^[1]PUE!$E8</f>
        <v>1.3806012346177503</v>
      </c>
      <c r="G8" s="7">
        <f>1+($B8-1)*(G$1-$B$1)^[1]PUE!$E8</f>
        <v>1.353033264576105</v>
      </c>
      <c r="H8" s="7">
        <f>1+($B8-1)*(H$1-$B$1)^[1]PUE!$E8</f>
        <v>1.3319975717312487</v>
      </c>
      <c r="I8" s="7">
        <f>1+($B8-1)*(I$1-$B$1)^[1]PUE!$E8</f>
        <v>1.3151930833080097</v>
      </c>
      <c r="J8" s="7">
        <f>1+($B8-1)*(J$1-$B$1)^[1]PUE!$E8</f>
        <v>1.3013254766298772</v>
      </c>
      <c r="K8" s="7">
        <f>1+($B8-1)*(K$1-$B$1)^[1]PUE!$E8</f>
        <v>1.2896007096407489</v>
      </c>
      <c r="L8" s="7">
        <f>1+($B8-1)*(L$1-$B$1)^[1]PUE!$E8</f>
        <v>1.2794996627413335</v>
      </c>
      <c r="M8" s="7">
        <f>1+($B8-1)*(M$1-$B$1)^[1]PUE!$E8</f>
        <v>1.2706660025527672</v>
      </c>
      <c r="N8" s="7">
        <f>1+($B8-1)*(N$1-$B$1)^[1]PUE!$E8</f>
        <v>1.2628455124228721</v>
      </c>
      <c r="O8" s="7">
        <f>1+($B8-1)*(O$1-$B$1)^[1]PUE!$E8</f>
        <v>1.2558510545064183</v>
      </c>
      <c r="P8" s="7">
        <f>1+($B8-1)*(P$1-$B$1)^[1]PUE!$E8</f>
        <v>1.2495412453236354</v>
      </c>
      <c r="Q8" s="7">
        <f>1+($B8-1)*(Q$1-$B$1)^[1]PUE!$E8</f>
        <v>1.2438069057317189</v>
      </c>
      <c r="R8" s="7">
        <f>1+($B8-1)*(R$1-$B$1)^[1]PUE!$E8</f>
        <v>1.2385621343488626</v>
      </c>
      <c r="S8" s="7">
        <f>1+($B8-1)*(S$1-$B$1)^[1]PUE!$E8</f>
        <v>1.2337382434675663</v>
      </c>
      <c r="T8" s="7">
        <f>1+($B8-1)*(T$1-$B$1)^[1]PUE!$E8</f>
        <v>1.2292795291441747</v>
      </c>
      <c r="U8" s="7">
        <f>1+($B8-1)*(U$1-$B$1)^[1]PUE!$E8</f>
        <v>1.2251402519723182</v>
      </c>
      <c r="V8" s="7">
        <f>1+($B8-1)*(V$1-$B$1)^[1]PUE!$E8</f>
        <v>1.221282437977395</v>
      </c>
      <c r="W8" s="7">
        <f>1+($B8-1)*(W$1-$B$1)^[1]PUE!$E8</f>
        <v>1.2176742478973952</v>
      </c>
      <c r="X8" s="7">
        <f>1+($B8-1)*(X$1-$B$1)^[1]PUE!$E8</f>
        <v>1.214288748455133</v>
      </c>
      <c r="Y8" s="7">
        <f>1+($B8-1)*(Y$1-$B$1)^[1]PUE!$E8</f>
        <v>1.2111029731413236</v>
      </c>
      <c r="Z8" s="7">
        <f>1+($B8-1)*(Z$1-$B$1)^[1]PUE!$E8</f>
        <v>1.2080971949299939</v>
      </c>
      <c r="AA8" s="7">
        <f>1+($B8-1)*(AA$1-$B$1)^[1]PUE!$E8</f>
        <v>1.2052543564420584</v>
      </c>
      <c r="AB8" s="7">
        <f>1+($B8-1)*(AB$1-$B$1)^[1]PUE!$E8</f>
        <v>1.2025596186592289</v>
      </c>
      <c r="AC8" s="7">
        <f>1+($B8-1)*(AC$1-$B$1)^[1]PUE!$E8</f>
        <v>1.2</v>
      </c>
      <c r="AD8" s="8" t="s">
        <v>2</v>
      </c>
    </row>
    <row r="9" spans="1:30" ht="15" x14ac:dyDescent="0.25">
      <c r="A9" s="2" t="s">
        <v>13</v>
      </c>
      <c r="B9" s="7">
        <v>1.611419267825295</v>
      </c>
      <c r="C9" s="7">
        <f>1+($B9-1)*(C$1-$B$1)^[1]PUE!$E9</f>
        <v>1.611419267825295</v>
      </c>
      <c r="D9" s="7">
        <f>1+($B9-1)*(D$1-$B$1)^[1]PUE!$E9</f>
        <v>1.4833634396786539</v>
      </c>
      <c r="E9" s="7">
        <f>1+($B9-1)*(E$1-$B$1)^[1]PUE!$E9</f>
        <v>1.4212786133965711</v>
      </c>
      <c r="F9" s="7">
        <f>1+($B9-1)*(F$1-$B$1)^[1]PUE!$E9</f>
        <v>1.3821276611857436</v>
      </c>
      <c r="G9" s="7">
        <f>1+($B9-1)*(G$1-$B$1)^[1]PUE!$E9</f>
        <v>1.3542833817385183</v>
      </c>
      <c r="H9" s="7">
        <f>1+($B9-1)*(H$1-$B$1)^[1]PUE!$E9</f>
        <v>1.3330458988619986</v>
      </c>
      <c r="I9" s="7">
        <f>1+($B9-1)*(I$1-$B$1)^[1]PUE!$E9</f>
        <v>1.3160862004131511</v>
      </c>
      <c r="J9" s="7">
        <f>1+($B9-1)*(J$1-$B$1)^[1]PUE!$E9</f>
        <v>1.3020947333963928</v>
      </c>
      <c r="K9" s="7">
        <f>1+($B9-1)*(K$1-$B$1)^[1]PUE!$E9</f>
        <v>1.2902683632077636</v>
      </c>
      <c r="L9" s="7">
        <f>1+($B9-1)*(L$1-$B$1)^[1]PUE!$E9</f>
        <v>1.280082167883279</v>
      </c>
      <c r="M9" s="7">
        <f>1+($B9-1)*(M$1-$B$1)^[1]PUE!$E9</f>
        <v>1.2711759172485138</v>
      </c>
      <c r="N9" s="7">
        <f>1+($B9-1)*(N$1-$B$1)^[1]PUE!$E9</f>
        <v>1.2632926695578119</v>
      </c>
      <c r="O9" s="7">
        <f>1+($B9-1)*(O$1-$B$1)^[1]PUE!$E9</f>
        <v>1.2562433175774359</v>
      </c>
      <c r="P9" s="7">
        <f>1+($B9-1)*(P$1-$B$1)^[1]PUE!$E9</f>
        <v>1.2498850152532537</v>
      </c>
      <c r="Q9" s="7">
        <f>1+($B9-1)*(Q$1-$B$1)^[1]PUE!$E9</f>
        <v>1.2441074720119842</v>
      </c>
      <c r="R9" s="7">
        <f>1+($B9-1)*(R$1-$B$1)^[1]PUE!$E9</f>
        <v>1.2388239251318625</v>
      </c>
      <c r="S9" s="7">
        <f>1+($B9-1)*(S$1-$B$1)^[1]PUE!$E9</f>
        <v>1.2339650079495366</v>
      </c>
      <c r="T9" s="7">
        <f>1+($B9-1)*(T$1-$B$1)^[1]PUE!$E9</f>
        <v>1.2294744733332281</v>
      </c>
      <c r="U9" s="7">
        <f>1+($B9-1)*(U$1-$B$1)^[1]PUE!$E9</f>
        <v>1.225306141590125</v>
      </c>
      <c r="V9" s="7">
        <f>1+($B9-1)*(V$1-$B$1)^[1]PUE!$E9</f>
        <v>1.2214216777011997</v>
      </c>
      <c r="W9" s="7">
        <f>1+($B9-1)*(W$1-$B$1)^[1]PUE!$E9</f>
        <v>1.217788943252426</v>
      </c>
      <c r="X9" s="7">
        <f>1+($B9-1)*(X$1-$B$1)^[1]PUE!$E9</f>
        <v>1.2143807547731862</v>
      </c>
      <c r="Y9" s="7">
        <f>1+($B9-1)*(Y$1-$B$1)^[1]PUE!$E9</f>
        <v>1.2111739347336854</v>
      </c>
      <c r="Z9" s="7">
        <f>1+($B9-1)*(Z$1-$B$1)^[1]PUE!$E9</f>
        <v>1.2081485767569953</v>
      </c>
      <c r="AA9" s="7">
        <f>1+($B9-1)*(AA$1-$B$1)^[1]PUE!$E9</f>
        <v>1.2052874699590681</v>
      </c>
      <c r="AB9" s="7">
        <f>1+($B9-1)*(AB$1-$B$1)^[1]PUE!$E9</f>
        <v>1.2025756430925727</v>
      </c>
      <c r="AC9" s="7">
        <f>1+($B9-1)*(AC$1-$B$1)^[1]PUE!$E9</f>
        <v>1.2</v>
      </c>
      <c r="AD9" s="8" t="s">
        <v>2</v>
      </c>
    </row>
    <row r="10" spans="1:30" ht="15" x14ac:dyDescent="0.25">
      <c r="A10" s="2" t="s">
        <v>25</v>
      </c>
      <c r="B10" s="7">
        <v>1.6038127334201866</v>
      </c>
      <c r="C10" s="7">
        <f>1+($B10-1)*(C$1-$B$1)^[1]PUE!$E10</f>
        <v>1.6038127334201866</v>
      </c>
      <c r="D10" s="7">
        <f>1+($B10-1)*(D$1-$B$1)^[1]PUE!$E10</f>
        <v>1.4786084580856111</v>
      </c>
      <c r="E10" s="7">
        <f>1+($B10-1)*(E$1-$B$1)^[1]PUE!$E10</f>
        <v>1.4177773044517992</v>
      </c>
      <c r="F10" s="7">
        <f>1+($B10-1)*(F$1-$B$1)^[1]PUE!$E10</f>
        <v>1.3793660575085649</v>
      </c>
      <c r="G10" s="7">
        <f>1+($B10-1)*(G$1-$B$1)^[1]PUE!$E10</f>
        <v>1.352021246878063</v>
      </c>
      <c r="H10" s="7">
        <f>1+($B10-1)*(H$1-$B$1)^[1]PUE!$E10</f>
        <v>1.3311486168472275</v>
      </c>
      <c r="I10" s="7">
        <f>1+($B10-1)*(I$1-$B$1)^[1]PUE!$E10</f>
        <v>1.3144696086067653</v>
      </c>
      <c r="J10" s="7">
        <f>1+($B10-1)*(J$1-$B$1)^[1]PUE!$E10</f>
        <v>1.3007021776532171</v>
      </c>
      <c r="K10" s="7">
        <f>1+($B10-1)*(K$1-$B$1)^[1]PUE!$E10</f>
        <v>1.2890596147689257</v>
      </c>
      <c r="L10" s="7">
        <f>1+($B10-1)*(L$1-$B$1)^[1]PUE!$E10</f>
        <v>1.2790274812976499</v>
      </c>
      <c r="M10" s="7">
        <f>1+($B10-1)*(M$1-$B$1)^[1]PUE!$E10</f>
        <v>1.2702525884399598</v>
      </c>
      <c r="N10" s="7">
        <f>1+($B10-1)*(N$1-$B$1)^[1]PUE!$E10</f>
        <v>1.2624829191804119</v>
      </c>
      <c r="O10" s="7">
        <f>1+($B10-1)*(O$1-$B$1)^[1]PUE!$E10</f>
        <v>1.2555329257056593</v>
      </c>
      <c r="P10" s="7">
        <f>1+($B10-1)*(P$1-$B$1)^[1]PUE!$E10</f>
        <v>1.2492624056427986</v>
      </c>
      <c r="Q10" s="7">
        <f>1+($B10-1)*(Q$1-$B$1)^[1]PUE!$E10</f>
        <v>1.2435630775744779</v>
      </c>
      <c r="R10" s="7">
        <f>1+($B10-1)*(R$1-$B$1)^[1]PUE!$E10</f>
        <v>1.2383497359759064</v>
      </c>
      <c r="S10" s="7">
        <f>1+($B10-1)*(S$1-$B$1)^[1]PUE!$E10</f>
        <v>1.2335542417525747</v>
      </c>
      <c r="T10" s="7">
        <f>1+($B10-1)*(T$1-$B$1)^[1]PUE!$E10</f>
        <v>1.2291213299456913</v>
      </c>
      <c r="U10" s="7">
        <f>1+($B10-1)*(U$1-$B$1)^[1]PUE!$E10</f>
        <v>1.2250056170304009</v>
      </c>
      <c r="V10" s="7">
        <f>1+($B10-1)*(V$1-$B$1)^[1]PUE!$E10</f>
        <v>1.2211694209079349</v>
      </c>
      <c r="W10" s="7">
        <f>1+($B10-1)*(W$1-$B$1)^[1]PUE!$E10</f>
        <v>1.2175811441928004</v>
      </c>
      <c r="X10" s="7">
        <f>1+($B10-1)*(X$1-$B$1)^[1]PUE!$E10</f>
        <v>1.2142140559279737</v>
      </c>
      <c r="Y10" s="7">
        <f>1+($B10-1)*(Y$1-$B$1)^[1]PUE!$E10</f>
        <v>1.2110453602701194</v>
      </c>
      <c r="Z10" s="7">
        <f>1+($B10-1)*(Z$1-$B$1)^[1]PUE!$E10</f>
        <v>1.2080554752649195</v>
      </c>
      <c r="AA10" s="7">
        <f>1+($B10-1)*(AA$1-$B$1)^[1]PUE!$E10</f>
        <v>1.2052274677144847</v>
      </c>
      <c r="AB10" s="7">
        <f>1+($B10-1)*(AB$1-$B$1)^[1]PUE!$E10</f>
        <v>1.2025466055830645</v>
      </c>
      <c r="AC10" s="7">
        <f>1+($B10-1)*(AC$1-$B$1)^[1]PUE!$E10</f>
        <v>1.2</v>
      </c>
      <c r="AD10" s="8" t="s">
        <v>2</v>
      </c>
    </row>
    <row r="11" spans="1:30" ht="15" x14ac:dyDescent="0.25">
      <c r="A11" s="2" t="s">
        <v>17</v>
      </c>
      <c r="B11" s="7">
        <v>1.5868208545410898</v>
      </c>
      <c r="C11" s="7">
        <f>1+($B11-1)*(C$1-$B$1)^[1]PUE!$E11</f>
        <v>1.5868208545410898</v>
      </c>
      <c r="D11" s="7">
        <f>1+($B11-1)*(D$1-$B$1)^[1]PUE!$E11</f>
        <v>1.4679406739948726</v>
      </c>
      <c r="E11" s="7">
        <f>1+($B11-1)*(E$1-$B$1)^[1]PUE!$E11</f>
        <v>1.4099023028470692</v>
      </c>
      <c r="F11" s="7">
        <f>1+($B11-1)*(F$1-$B$1)^[1]PUE!$E11</f>
        <v>1.3731436479877919</v>
      </c>
      <c r="G11" s="7">
        <f>1+($B11-1)*(G$1-$B$1)^[1]PUE!$E11</f>
        <v>1.3469171541100857</v>
      </c>
      <c r="H11" s="7">
        <f>1+($B11-1)*(H$1-$B$1)^[1]PUE!$E11</f>
        <v>1.3268628890435543</v>
      </c>
      <c r="I11" s="7">
        <f>1+($B11-1)*(I$1-$B$1)^[1]PUE!$E11</f>
        <v>1.3108144213088215</v>
      </c>
      <c r="J11" s="7">
        <f>1+($B11-1)*(J$1-$B$1)^[1]PUE!$E11</f>
        <v>1.2975509285075801</v>
      </c>
      <c r="K11" s="7">
        <f>1+($B11-1)*(K$1-$B$1)^[1]PUE!$E11</f>
        <v>1.2863223019071581</v>
      </c>
      <c r="L11" s="7">
        <f>1+($B11-1)*(L$1-$B$1)^[1]PUE!$E11</f>
        <v>1.2766374876734883</v>
      </c>
      <c r="M11" s="7">
        <f>1+($B11-1)*(M$1-$B$1)^[1]PUE!$E11</f>
        <v>1.2681590190134839</v>
      </c>
      <c r="N11" s="7">
        <f>1+($B11-1)*(N$1-$B$1)^[1]PUE!$E11</f>
        <v>1.2606458843773798</v>
      </c>
      <c r="O11" s="7">
        <f>1+($B11-1)*(O$1-$B$1)^[1]PUE!$E11</f>
        <v>1.2539204966083641</v>
      </c>
      <c r="P11" s="7">
        <f>1+($B11-1)*(P$1-$B$1)^[1]PUE!$E11</f>
        <v>1.2478485702562776</v>
      </c>
      <c r="Q11" s="7">
        <f>1+($B11-1)*(Q$1-$B$1)^[1]PUE!$E11</f>
        <v>1.2423263237263131</v>
      </c>
      <c r="R11" s="7">
        <f>1+($B11-1)*(R$1-$B$1)^[1]PUE!$E11</f>
        <v>1.237272041298743</v>
      </c>
      <c r="S11" s="7">
        <f>1+($B11-1)*(S$1-$B$1)^[1]PUE!$E11</f>
        <v>1.2326203366041755</v>
      </c>
      <c r="T11" s="7">
        <f>1+($B11-1)*(T$1-$B$1)^[1]PUE!$E11</f>
        <v>1.2283181483708117</v>
      </c>
      <c r="U11" s="7">
        <f>1+($B11-1)*(U$1-$B$1)^[1]PUE!$E11</f>
        <v>1.2243218803793732</v>
      </c>
      <c r="V11" s="7">
        <f>1+($B11-1)*(V$1-$B$1)^[1]PUE!$E11</f>
        <v>1.2205953170076307</v>
      </c>
      <c r="W11" s="7">
        <f>1+($B11-1)*(W$1-$B$1)^[1]PUE!$E11</f>
        <v>1.2171080766245062</v>
      </c>
      <c r="X11" s="7">
        <f>1+($B11-1)*(X$1-$B$1)^[1]PUE!$E11</f>
        <v>1.2138344455960146</v>
      </c>
      <c r="Y11" s="7">
        <f>1+($B11-1)*(Y$1-$B$1)^[1]PUE!$E11</f>
        <v>1.2107524865530956</v>
      </c>
      <c r="Z11" s="7">
        <f>1+($B11-1)*(Z$1-$B$1)^[1]PUE!$E11</f>
        <v>1.2078433475322246</v>
      </c>
      <c r="AA11" s="7">
        <f>1+($B11-1)*(AA$1-$B$1)^[1]PUE!$E11</f>
        <v>1.2050907204209012</v>
      </c>
      <c r="AB11" s="7">
        <f>1+($B11-1)*(AB$1-$B$1)^[1]PUE!$E11</f>
        <v>1.202480411874508</v>
      </c>
      <c r="AC11" s="7">
        <f>1+($B11-1)*(AC$1-$B$1)^[1]PUE!$E11</f>
        <v>1.2</v>
      </c>
      <c r="AD11" s="8" t="s">
        <v>2</v>
      </c>
    </row>
    <row r="12" spans="1:30" ht="15" x14ac:dyDescent="0.25">
      <c r="A12" s="2" t="s">
        <v>31</v>
      </c>
      <c r="B12" s="7">
        <v>1.5250126564126461</v>
      </c>
      <c r="C12" s="7">
        <f>1+($B12-1)*(C$1-$B$1)^[1]PUE!$E12</f>
        <v>1.5250126564126461</v>
      </c>
      <c r="D12" s="7">
        <f>1+($B12-1)*(D$1-$B$1)^[1]PUE!$E12</f>
        <v>1.4285687702415555</v>
      </c>
      <c r="E12" s="7">
        <f>1+($B12-1)*(E$1-$B$1)^[1]PUE!$E12</f>
        <v>1.3805892471196384</v>
      </c>
      <c r="F12" s="7">
        <f>1+($B12-1)*(F$1-$B$1)^[1]PUE!$E12</f>
        <v>1.3498414535020247</v>
      </c>
      <c r="G12" s="7">
        <f>1+($B12-1)*(G$1-$B$1)^[1]PUE!$E12</f>
        <v>1.3277129081101449</v>
      </c>
      <c r="H12" s="7">
        <f>1+($B12-1)*(H$1-$B$1)^[1]PUE!$E12</f>
        <v>1.3106756829820569</v>
      </c>
      <c r="I12" s="7">
        <f>1+($B12-1)*(I$1-$B$1)^[1]PUE!$E12</f>
        <v>1.2969638165797019</v>
      </c>
      <c r="J12" s="7">
        <f>1+($B12-1)*(J$1-$B$1)^[1]PUE!$E12</f>
        <v>1.2855762040697152</v>
      </c>
      <c r="K12" s="7">
        <f>1+($B12-1)*(K$1-$B$1)^[1]PUE!$E12</f>
        <v>1.275894634641429</v>
      </c>
      <c r="L12" s="7">
        <f>1+($B12-1)*(L$1-$B$1)^[1]PUE!$E12</f>
        <v>1.2675126328967214</v>
      </c>
      <c r="M12" s="7">
        <f>1+($B12-1)*(M$1-$B$1)^[1]PUE!$E12</f>
        <v>1.2601497800118893</v>
      </c>
      <c r="N12" s="7">
        <f>1+($B12-1)*(N$1-$B$1)^[1]PUE!$E12</f>
        <v>1.2536051155592074</v>
      </c>
      <c r="O12" s="7">
        <f>1+($B12-1)*(O$1-$B$1)^[1]PUE!$E12</f>
        <v>1.2477301007359516</v>
      </c>
      <c r="P12" s="7">
        <f>1+($B12-1)*(P$1-$B$1)^[1]PUE!$E12</f>
        <v>1.2424120944958159</v>
      </c>
      <c r="Q12" s="7">
        <f>1+($B12-1)*(Q$1-$B$1)^[1]PUE!$E12</f>
        <v>1.2375638138349898</v>
      </c>
      <c r="R12" s="7">
        <f>1+($B12-1)*(R$1-$B$1)^[1]PUE!$E12</f>
        <v>1.2331163660409259</v>
      </c>
      <c r="S12" s="7">
        <f>1+($B12-1)*(S$1-$B$1)^[1]PUE!$E12</f>
        <v>1.2290144999587203</v>
      </c>
      <c r="T12" s="7">
        <f>1+($B12-1)*(T$1-$B$1)^[1]PUE!$E12</f>
        <v>1.2252132836043237</v>
      </c>
      <c r="U12" s="7">
        <f>1+($B12-1)*(U$1-$B$1)^[1]PUE!$E12</f>
        <v>1.2216757260306521</v>
      </c>
      <c r="V12" s="7">
        <f>1+($B12-1)*(V$1-$B$1)^[1]PUE!$E12</f>
        <v>1.2183710405916741</v>
      </c>
      <c r="W12" s="7">
        <f>1+($B12-1)*(W$1-$B$1)^[1]PUE!$E12</f>
        <v>1.2152733538770377</v>
      </c>
      <c r="X12" s="7">
        <f>1+($B12-1)*(X$1-$B$1)^[1]PUE!$E12</f>
        <v>1.2123607306157524</v>
      </c>
      <c r="Y12" s="7">
        <f>1+($B12-1)*(Y$1-$B$1)^[1]PUE!$E12</f>
        <v>1.2096144266633262</v>
      </c>
      <c r="Z12" s="7">
        <f>1+($B12-1)*(Z$1-$B$1)^[1]PUE!$E12</f>
        <v>1.2070183093200553</v>
      </c>
      <c r="AA12" s="7">
        <f>1+($B12-1)*(AA$1-$B$1)^[1]PUE!$E12</f>
        <v>1.2045584022218279</v>
      </c>
      <c r="AB12" s="7">
        <f>1+($B12-1)*(AB$1-$B$1)^[1]PUE!$E12</f>
        <v>1.2022225242143061</v>
      </c>
      <c r="AC12" s="7">
        <f>1+($B12-1)*(AC$1-$B$1)^[1]PUE!$E12</f>
        <v>1.2</v>
      </c>
      <c r="AD12" s="8" t="s">
        <v>2</v>
      </c>
    </row>
    <row r="13" spans="1:30" ht="15" x14ac:dyDescent="0.25">
      <c r="A13" s="2" t="s">
        <v>0</v>
      </c>
      <c r="B13" s="7">
        <v>1.6032882160663773</v>
      </c>
      <c r="C13" s="7">
        <f>1+($B13-1)*(C$1-$B$1)^[1]PUE!$E13</f>
        <v>1.6032882160663773</v>
      </c>
      <c r="D13" s="7">
        <f>1+($B13-1)*(D$1-$B$1)^[1]PUE!$E13</f>
        <v>1.478280110119774</v>
      </c>
      <c r="E13" s="7">
        <f>1+($B13-1)*(E$1-$B$1)^[1]PUE!$E13</f>
        <v>1.4175353274590163</v>
      </c>
      <c r="F13" s="7">
        <f>1+($B13-1)*(F$1-$B$1)^[1]PUE!$E13</f>
        <v>1.3791750901877629</v>
      </c>
      <c r="G13" s="7">
        <f>1+($B13-1)*(G$1-$B$1)^[1]PUE!$E13</f>
        <v>1.3518647472784902</v>
      </c>
      <c r="H13" s="7">
        <f>1+($B13-1)*(H$1-$B$1)^[1]PUE!$E13</f>
        <v>1.3310173099320446</v>
      </c>
      <c r="I13" s="7">
        <f>1+($B13-1)*(I$1-$B$1)^[1]PUE!$E13</f>
        <v>1.3143576926100169</v>
      </c>
      <c r="J13" s="7">
        <f>1+($B13-1)*(J$1-$B$1)^[1]PUE!$E13</f>
        <v>1.3006057454132753</v>
      </c>
      <c r="K13" s="7">
        <f>1+($B13-1)*(K$1-$B$1)^[1]PUE!$E13</f>
        <v>1.2889758908487061</v>
      </c>
      <c r="L13" s="7">
        <f>1+($B13-1)*(L$1-$B$1)^[1]PUE!$E13</f>
        <v>1.278954412822654</v>
      </c>
      <c r="M13" s="7">
        <f>1+($B13-1)*(M$1-$B$1)^[1]PUE!$E13</f>
        <v>1.2701886080145224</v>
      </c>
      <c r="N13" s="7">
        <f>1+($B13-1)*(N$1-$B$1)^[1]PUE!$E13</f>
        <v>1.2624267990482851</v>
      </c>
      <c r="O13" s="7">
        <f>1+($B13-1)*(O$1-$B$1)^[1]PUE!$E13</f>
        <v>1.2554836836534518</v>
      </c>
      <c r="P13" s="7">
        <f>1+($B13-1)*(P$1-$B$1)^[1]PUE!$E13</f>
        <v>1.2492192418722372</v>
      </c>
      <c r="Q13" s="7">
        <f>1+($B13-1)*(Q$1-$B$1)^[1]PUE!$E13</f>
        <v>1.2435253309506775</v>
      </c>
      <c r="R13" s="7">
        <f>1+($B13-1)*(R$1-$B$1)^[1]PUE!$E13</f>
        <v>1.2383168528574064</v>
      </c>
      <c r="S13" s="7">
        <f>1+($B13-1)*(S$1-$B$1)^[1]PUE!$E13</f>
        <v>1.2335257532536277</v>
      </c>
      <c r="T13" s="7">
        <f>1+($B13-1)*(T$1-$B$1)^[1]PUE!$E13</f>
        <v>1.2290968350057614</v>
      </c>
      <c r="U13" s="7">
        <f>1+($B13-1)*(U$1-$B$1)^[1]PUE!$E13</f>
        <v>1.2249847695789551</v>
      </c>
      <c r="V13" s="7">
        <f>1+($B13-1)*(V$1-$B$1)^[1]PUE!$E13</f>
        <v>1.2211519199780563</v>
      </c>
      <c r="W13" s="7">
        <f>1+($B13-1)*(W$1-$B$1)^[1]PUE!$E13</f>
        <v>1.2175667261976533</v>
      </c>
      <c r="X13" s="7">
        <f>1+($B13-1)*(X$1-$B$1)^[1]PUE!$E13</f>
        <v>1.2142024885499771</v>
      </c>
      <c r="Y13" s="7">
        <f>1+($B13-1)*(Y$1-$B$1)^[1]PUE!$E13</f>
        <v>1.2110364375705402</v>
      </c>
      <c r="Z13" s="7">
        <f>1+($B13-1)*(Z$1-$B$1)^[1]PUE!$E13</f>
        <v>1.2080490137294244</v>
      </c>
      <c r="AA13" s="7">
        <f>1+($B13-1)*(AA$1-$B$1)^[1]PUE!$E13</f>
        <v>1.205223303025255</v>
      </c>
      <c r="AB13" s="7">
        <f>1+($B13-1)*(AB$1-$B$1)^[1]PUE!$E13</f>
        <v>1.2025445899611837</v>
      </c>
      <c r="AC13" s="7">
        <f>1+($B13-1)*(AC$1-$B$1)^[1]PUE!$E13</f>
        <v>1.2</v>
      </c>
      <c r="AD13" s="8" t="s">
        <v>2</v>
      </c>
    </row>
    <row r="14" spans="1:30" ht="15" x14ac:dyDescent="0.25">
      <c r="A14" s="2" t="s">
        <v>6</v>
      </c>
      <c r="B14" s="7">
        <v>1.6025618865583442</v>
      </c>
      <c r="C14" s="7">
        <f>1+($B14-1)*(C$1-$B$1)^[1]PUE!$E14</f>
        <v>1.6025618865583442</v>
      </c>
      <c r="D14" s="7">
        <f>1+($B14-1)*(D$1-$B$1)^[1]PUE!$E14</f>
        <v>1.4778253285507812</v>
      </c>
      <c r="E14" s="7">
        <f>1+($B14-1)*(E$1-$B$1)^[1]PUE!$E14</f>
        <v>1.4172001321003811</v>
      </c>
      <c r="F14" s="7">
        <f>1+($B14-1)*(F$1-$B$1)^[1]PUE!$E14</f>
        <v>1.3789105313459862</v>
      </c>
      <c r="G14" s="7">
        <f>1+($B14-1)*(G$1-$B$1)^[1]PUE!$E14</f>
        <v>1.3516479234827714</v>
      </c>
      <c r="H14" s="7">
        <f>1+($B14-1)*(H$1-$B$1)^[1]PUE!$E14</f>
        <v>1.3308353791357688</v>
      </c>
      <c r="I14" s="7">
        <f>1+($B14-1)*(I$1-$B$1)^[1]PUE!$E14</f>
        <v>1.3142026211593452</v>
      </c>
      <c r="J14" s="7">
        <f>1+($B14-1)*(J$1-$B$1)^[1]PUE!$E14</f>
        <v>1.30047212273227</v>
      </c>
      <c r="K14" s="7">
        <f>1+($B14-1)*(K$1-$B$1)^[1]PUE!$E14</f>
        <v>1.2888598733297447</v>
      </c>
      <c r="L14" s="7">
        <f>1+($B14-1)*(L$1-$B$1)^[1]PUE!$E14</f>
        <v>1.278853157361266</v>
      </c>
      <c r="M14" s="7">
        <f>1+($B14-1)*(M$1-$B$1)^[1]PUE!$E14</f>
        <v>1.2700999437616045</v>
      </c>
      <c r="N14" s="7">
        <f>1+($B14-1)*(N$1-$B$1)^[1]PUE!$E14</f>
        <v>1.2623490254829857</v>
      </c>
      <c r="O14" s="7">
        <f>1+($B14-1)*(O$1-$B$1)^[1]PUE!$E14</f>
        <v>1.2554154402930882</v>
      </c>
      <c r="P14" s="7">
        <f>1+($B14-1)*(P$1-$B$1)^[1]PUE!$E14</f>
        <v>1.2491594208596593</v>
      </c>
      <c r="Q14" s="7">
        <f>1+($B14-1)*(Q$1-$B$1)^[1]PUE!$E14</f>
        <v>1.2434730164693741</v>
      </c>
      <c r="R14" s="7">
        <f>1+($B14-1)*(R$1-$B$1)^[1]PUE!$E14</f>
        <v>1.238271277967721</v>
      </c>
      <c r="S14" s="7">
        <f>1+($B14-1)*(S$1-$B$1)^[1]PUE!$E14</f>
        <v>1.2334862684048991</v>
      </c>
      <c r="T14" s="7">
        <f>1+($B14-1)*(T$1-$B$1)^[1]PUE!$E14</f>
        <v>1.2290628845897937</v>
      </c>
      <c r="U14" s="7">
        <f>1+($B14-1)*(U$1-$B$1)^[1]PUE!$E14</f>
        <v>1.2249558741544531</v>
      </c>
      <c r="V14" s="7">
        <f>1+($B14-1)*(V$1-$B$1)^[1]PUE!$E14</f>
        <v>1.2211276625785525</v>
      </c>
      <c r="W14" s="7">
        <f>1+($B14-1)*(W$1-$B$1)^[1]PUE!$E14</f>
        <v>1.2175467416345993</v>
      </c>
      <c r="X14" s="7">
        <f>1+($B14-1)*(X$1-$B$1)^[1]PUE!$E14</f>
        <v>1.2141864549492041</v>
      </c>
      <c r="Y14" s="7">
        <f>1+($B14-1)*(Y$1-$B$1)^[1]PUE!$E14</f>
        <v>1.2110240695988546</v>
      </c>
      <c r="Z14" s="7">
        <f>1+($B14-1)*(Z$1-$B$1)^[1]PUE!$E14</f>
        <v>1.208040057117431</v>
      </c>
      <c r="AA14" s="7">
        <f>1+($B14-1)*(AA$1-$B$1)^[1]PUE!$E14</f>
        <v>1.2052175300964241</v>
      </c>
      <c r="AB14" s="7">
        <f>1+($B14-1)*(AB$1-$B$1)^[1]PUE!$E14</f>
        <v>1.2025417959507303</v>
      </c>
      <c r="AC14" s="7">
        <f>1+($B14-1)*(AC$1-$B$1)^[1]PUE!$E14</f>
        <v>1.2</v>
      </c>
      <c r="AD14" s="8" t="s">
        <v>2</v>
      </c>
    </row>
    <row r="15" spans="1:30" ht="15" x14ac:dyDescent="0.25">
      <c r="A15" s="2" t="s">
        <v>18</v>
      </c>
      <c r="B15" s="7">
        <v>1.6054537987054969</v>
      </c>
      <c r="C15" s="7">
        <f>1+($B15-1)*(C$1-$B$1)^[1]PUE!$E15</f>
        <v>1.6054537987054969</v>
      </c>
      <c r="D15" s="7">
        <f>1+($B15-1)*(D$1-$B$1)^[1]PUE!$E15</f>
        <v>1.4796353781600338</v>
      </c>
      <c r="E15" s="7">
        <f>1+($B15-1)*(E$1-$B$1)^[1]PUE!$E15</f>
        <v>1.4185339293783752</v>
      </c>
      <c r="F15" s="7">
        <f>1+($B15-1)*(F$1-$B$1)^[1]PUE!$E15</f>
        <v>1.3799630896272879</v>
      </c>
      <c r="G15" s="7">
        <f>1+($B15-1)*(G$1-$B$1)^[1]PUE!$E15</f>
        <v>1.3525104612222789</v>
      </c>
      <c r="H15" s="7">
        <f>1+($B15-1)*(H$1-$B$1)^[1]PUE!$E15</f>
        <v>1.3315590387233609</v>
      </c>
      <c r="I15" s="7">
        <f>1+($B15-1)*(I$1-$B$1)^[1]PUE!$E15</f>
        <v>1.3148193915863913</v>
      </c>
      <c r="J15" s="7">
        <f>1+($B15-1)*(J$1-$B$1)^[1]PUE!$E15</f>
        <v>1.3010035457203986</v>
      </c>
      <c r="K15" s="7">
        <f>1+($B15-1)*(K$1-$B$1)^[1]PUE!$E15</f>
        <v>1.2893212503008982</v>
      </c>
      <c r="L15" s="7">
        <f>1+($B15-1)*(L$1-$B$1)^[1]PUE!$E15</f>
        <v>1.2792558057034462</v>
      </c>
      <c r="M15" s="7">
        <f>1+($B15-1)*(M$1-$B$1)^[1]PUE!$E15</f>
        <v>1.2704525041452734</v>
      </c>
      <c r="N15" s="7">
        <f>1+($B15-1)*(N$1-$B$1)^[1]PUE!$E15</f>
        <v>1.2626582660154555</v>
      </c>
      <c r="O15" s="7">
        <f>1+($B15-1)*(O$1-$B$1)^[1]PUE!$E15</f>
        <v>1.2556867753486975</v>
      </c>
      <c r="P15" s="7">
        <f>1+($B15-1)*(P$1-$B$1)^[1]PUE!$E15</f>
        <v>1.2493972591442914</v>
      </c>
      <c r="Q15" s="7">
        <f>1+($B15-1)*(Q$1-$B$1)^[1]PUE!$E15</f>
        <v>1.2436810022462317</v>
      </c>
      <c r="R15" s="7">
        <f>1+($B15-1)*(R$1-$B$1)^[1]PUE!$E15</f>
        <v>1.2384524629092952</v>
      </c>
      <c r="S15" s="7">
        <f>1+($B15-1)*(S$1-$B$1)^[1]PUE!$E15</f>
        <v>1.233643236951921</v>
      </c>
      <c r="T15" s="7">
        <f>1+($B15-1)*(T$1-$B$1)^[1]PUE!$E15</f>
        <v>1.2291978472915728</v>
      </c>
      <c r="U15" s="7">
        <f>1+($B15-1)*(U$1-$B$1)^[1]PUE!$E15</f>
        <v>1.2250707384298747</v>
      </c>
      <c r="V15" s="7">
        <f>1+($B15-1)*(V$1-$B$1)^[1]PUE!$E15</f>
        <v>1.2212240872190951</v>
      </c>
      <c r="W15" s="7">
        <f>1+($B15-1)*(W$1-$B$1)^[1]PUE!$E15</f>
        <v>1.2176261793829346</v>
      </c>
      <c r="X15" s="7">
        <f>1+($B15-1)*(X$1-$B$1)^[1]PUE!$E15</f>
        <v>1.2142501861866155</v>
      </c>
      <c r="Y15" s="7">
        <f>1+($B15-1)*(Y$1-$B$1)^[1]PUE!$E15</f>
        <v>1.2110732293043756</v>
      </c>
      <c r="Z15" s="7">
        <f>1+($B15-1)*(Z$1-$B$1)^[1]PUE!$E15</f>
        <v>1.2080756566670097</v>
      </c>
      <c r="AA15" s="7">
        <f>1+($B15-1)*(AA$1-$B$1)^[1]PUE!$E15</f>
        <v>1.2052404750566075</v>
      </c>
      <c r="AB15" s="7">
        <f>1+($B15-1)*(AB$1-$B$1)^[1]PUE!$E15</f>
        <v>1.2025529007285072</v>
      </c>
      <c r="AC15" s="7">
        <f>1+($B15-1)*(AC$1-$B$1)^[1]PUE!$E15</f>
        <v>1.2</v>
      </c>
      <c r="AD15" s="8" t="s">
        <v>2</v>
      </c>
    </row>
    <row r="16" spans="1:30" ht="15" x14ac:dyDescent="0.25">
      <c r="A16" s="2" t="s">
        <v>24</v>
      </c>
      <c r="B16" s="7">
        <v>1.6063859147119139</v>
      </c>
      <c r="C16" s="7">
        <f>1+($B16-1)*(C$1-$B$1)^[1]PUE!$E16</f>
        <v>1.6063859147119139</v>
      </c>
      <c r="D16" s="7">
        <f>1+($B16-1)*(D$1-$B$1)^[1]PUE!$E16</f>
        <v>1.4802184023587199</v>
      </c>
      <c r="E16" s="7">
        <f>1+($B16-1)*(E$1-$B$1)^[1]PUE!$E16</f>
        <v>1.4189633837183364</v>
      </c>
      <c r="F16" s="7">
        <f>1+($B16-1)*(F$1-$B$1)^[1]PUE!$E16</f>
        <v>1.3803018974698993</v>
      </c>
      <c r="G16" s="7">
        <f>1+($B16-1)*(G$1-$B$1)^[1]PUE!$E16</f>
        <v>1.3527880439431637</v>
      </c>
      <c r="H16" s="7">
        <f>1+($B16-1)*(H$1-$B$1)^[1]PUE!$E16</f>
        <v>1.3317918868079373</v>
      </c>
      <c r="I16" s="7">
        <f>1+($B16-1)*(I$1-$B$1)^[1]PUE!$E16</f>
        <v>1.3150178171650795</v>
      </c>
      <c r="J16" s="7">
        <f>1+($B16-1)*(J$1-$B$1)^[1]PUE!$E16</f>
        <v>1.3011744916663326</v>
      </c>
      <c r="K16" s="7">
        <f>1+($B16-1)*(K$1-$B$1)^[1]PUE!$E16</f>
        <v>1.2894696473616314</v>
      </c>
      <c r="L16" s="7">
        <f>1+($B16-1)*(L$1-$B$1)^[1]PUE!$E16</f>
        <v>1.279385300224414</v>
      </c>
      <c r="M16" s="7">
        <f>1+($B16-1)*(M$1-$B$1)^[1]PUE!$E16</f>
        <v>1.2705658796591606</v>
      </c>
      <c r="N16" s="7">
        <f>1+($B16-1)*(N$1-$B$1)^[1]PUE!$E16</f>
        <v>1.2627577025336905</v>
      </c>
      <c r="O16" s="7">
        <f>1+($B16-1)*(O$1-$B$1)^[1]PUE!$E16</f>
        <v>1.2557740166320324</v>
      </c>
      <c r="P16" s="7">
        <f>1+($B16-1)*(P$1-$B$1)^[1]PUE!$E16</f>
        <v>1.2494737249057239</v>
      </c>
      <c r="Q16" s="7">
        <f>1+($B16-1)*(Q$1-$B$1)^[1]PUE!$E16</f>
        <v>1.2437478659048691</v>
      </c>
      <c r="R16" s="7">
        <f>1+($B16-1)*(R$1-$B$1)^[1]PUE!$E16</f>
        <v>1.238510706977614</v>
      </c>
      <c r="S16" s="7">
        <f>1+($B16-1)*(S$1-$B$1)^[1]PUE!$E16</f>
        <v>1.2336936934347602</v>
      </c>
      <c r="T16" s="7">
        <f>1+($B16-1)*(T$1-$B$1)^[1]PUE!$E16</f>
        <v>1.2292412277639824</v>
      </c>
      <c r="U16" s="7">
        <f>1+($B16-1)*(U$1-$B$1)^[1]PUE!$E16</f>
        <v>1.2251076568371617</v>
      </c>
      <c r="V16" s="7">
        <f>1+($B16-1)*(V$1-$B$1)^[1]PUE!$E16</f>
        <v>1.2212550774369815</v>
      </c>
      <c r="W16" s="7">
        <f>1+($B16-1)*(W$1-$B$1)^[1]PUE!$E16</f>
        <v>1.2176517089348098</v>
      </c>
      <c r="X16" s="7">
        <f>1+($B16-1)*(X$1-$B$1)^[1]PUE!$E16</f>
        <v>1.2142706670956105</v>
      </c>
      <c r="Y16" s="7">
        <f>1+($B16-1)*(Y$1-$B$1)^[1]PUE!$E16</f>
        <v>1.211089026777401</v>
      </c>
      <c r="Z16" s="7">
        <f>1+($B16-1)*(Z$1-$B$1)^[1]PUE!$E16</f>
        <v>1.2080870961162145</v>
      </c>
      <c r="AA16" s="7">
        <f>1+($B16-1)*(AA$1-$B$1)^[1]PUE!$E16</f>
        <v>1.2052478478303255</v>
      </c>
      <c r="AB16" s="7">
        <f>1+($B16-1)*(AB$1-$B$1)^[1]PUE!$E16</f>
        <v>1.2025564688293608</v>
      </c>
      <c r="AC16" s="7">
        <f>1+($B16-1)*(AC$1-$B$1)^[1]PUE!$E16</f>
        <v>1.2</v>
      </c>
      <c r="AD16" s="8" t="s">
        <v>2</v>
      </c>
    </row>
    <row r="17" spans="1:30" ht="15" x14ac:dyDescent="0.25">
      <c r="A17" s="2" t="s">
        <v>14</v>
      </c>
      <c r="B17" s="7">
        <v>1.6031037717688743</v>
      </c>
      <c r="C17" s="7">
        <f>1+($B17-1)*(C$1-$B$1)^[1]PUE!$E17</f>
        <v>1.6031037717688743</v>
      </c>
      <c r="D17" s="7">
        <f>1+($B17-1)*(D$1-$B$1)^[1]PUE!$E17</f>
        <v>1.4781646336873444</v>
      </c>
      <c r="E17" s="7">
        <f>1+($B17-1)*(E$1-$B$1)^[1]PUE!$E17</f>
        <v>1.4174502206142212</v>
      </c>
      <c r="F17" s="7">
        <f>1+($B17-1)*(F$1-$B$1)^[1]PUE!$E17</f>
        <v>1.379107920745974</v>
      </c>
      <c r="G17" s="7">
        <f>1+($B17-1)*(G$1-$B$1)^[1]PUE!$E17</f>
        <v>1.3518096990702457</v>
      </c>
      <c r="H17" s="7">
        <f>1+($B17-1)*(H$1-$B$1)^[1]PUE!$E17</f>
        <v>1.3309711216649398</v>
      </c>
      <c r="I17" s="7">
        <f>1+($B17-1)*(I$1-$B$1)^[1]PUE!$E17</f>
        <v>1.3143183241733165</v>
      </c>
      <c r="J17" s="7">
        <f>1+($B17-1)*(J$1-$B$1)^[1]PUE!$E17</f>
        <v>1.3005718228552869</v>
      </c>
      <c r="K17" s="7">
        <f>1+($B17-1)*(K$1-$B$1)^[1]PUE!$E17</f>
        <v>1.2889464381556628</v>
      </c>
      <c r="L17" s="7">
        <f>1+($B17-1)*(L$1-$B$1)^[1]PUE!$E17</f>
        <v>1.2789287080566403</v>
      </c>
      <c r="M17" s="7">
        <f>1+($B17-1)*(M$1-$B$1)^[1]PUE!$E17</f>
        <v>1.2701660999520041</v>
      </c>
      <c r="N17" s="7">
        <f>1+($B17-1)*(N$1-$B$1)^[1]PUE!$E17</f>
        <v>1.2624070558999165</v>
      </c>
      <c r="O17" s="7">
        <f>1+($B17-1)*(O$1-$B$1)^[1]PUE!$E17</f>
        <v>1.2554663599769822</v>
      </c>
      <c r="P17" s="7">
        <f>1+($B17-1)*(P$1-$B$1)^[1]PUE!$E17</f>
        <v>1.2492040563744828</v>
      </c>
      <c r="Q17" s="7">
        <f>1+($B17-1)*(Q$1-$B$1)^[1]PUE!$E17</f>
        <v>1.2435120511025071</v>
      </c>
      <c r="R17" s="7">
        <f>1+($B17-1)*(R$1-$B$1)^[1]PUE!$E17</f>
        <v>1.238305283932819</v>
      </c>
      <c r="S17" s="7">
        <f>1+($B17-1)*(S$1-$B$1)^[1]PUE!$E17</f>
        <v>1.2335157303338988</v>
      </c>
      <c r="T17" s="7">
        <f>1+($B17-1)*(T$1-$B$1)^[1]PUE!$E17</f>
        <v>1.2290882170256325</v>
      </c>
      <c r="U17" s="7">
        <f>1+($B17-1)*(U$1-$B$1)^[1]PUE!$E17</f>
        <v>1.2249774348129121</v>
      </c>
      <c r="V17" s="7">
        <f>1+($B17-1)*(V$1-$B$1)^[1]PUE!$E17</f>
        <v>1.2211457625635611</v>
      </c>
      <c r="W17" s="7">
        <f>1+($B17-1)*(W$1-$B$1)^[1]PUE!$E17</f>
        <v>1.2175616534189531</v>
      </c>
      <c r="X17" s="7">
        <f>1+($B17-1)*(X$1-$B$1)^[1]PUE!$E17</f>
        <v>1.21419841868904</v>
      </c>
      <c r="Y17" s="7">
        <f>1+($B17-1)*(Y$1-$B$1)^[1]PUE!$E17</f>
        <v>1.211033298187165</v>
      </c>
      <c r="Z17" s="7">
        <f>1+($B17-1)*(Z$1-$B$1)^[1]PUE!$E17</f>
        <v>1.2080467402705004</v>
      </c>
      <c r="AA17" s="7">
        <f>1+($B17-1)*(AA$1-$B$1)^[1]PUE!$E17</f>
        <v>1.2052218376895325</v>
      </c>
      <c r="AB17" s="7">
        <f>1+($B17-1)*(AB$1-$B$1)^[1]PUE!$E17</f>
        <v>1.2025438807645958</v>
      </c>
      <c r="AC17" s="7">
        <f>1+($B17-1)*(AC$1-$B$1)^[1]PUE!$E17</f>
        <v>1.2</v>
      </c>
      <c r="AD17" s="8" t="s">
        <v>2</v>
      </c>
    </row>
    <row r="18" spans="1:30" ht="15" x14ac:dyDescent="0.25">
      <c r="A18" s="2" t="s">
        <v>15</v>
      </c>
      <c r="B18" s="7">
        <v>1.6088984607234031</v>
      </c>
      <c r="C18" s="7">
        <f>1+($B18-1)*(C$1-$B$1)^[1]PUE!$E18</f>
        <v>1.6088984607234031</v>
      </c>
      <c r="D18" s="7">
        <f>1+($B18-1)*(D$1-$B$1)^[1]PUE!$E18</f>
        <v>1.4817890235409352</v>
      </c>
      <c r="E18" s="7">
        <f>1+($B18-1)*(E$1-$B$1)^[1]PUE!$E18</f>
        <v>1.4201198960316872</v>
      </c>
      <c r="F18" s="7">
        <f>1+($B18-1)*(F$1-$B$1)^[1]PUE!$E18</f>
        <v>1.3812140745581067</v>
      </c>
      <c r="G18" s="7">
        <f>1+($B18-1)*(G$1-$B$1)^[1]PUE!$E18</f>
        <v>1.3535352402315957</v>
      </c>
      <c r="H18" s="7">
        <f>1+($B18-1)*(H$1-$B$1)^[1]PUE!$E18</f>
        <v>1.3324185681776122</v>
      </c>
      <c r="I18" s="7">
        <f>1+($B18-1)*(I$1-$B$1)^[1]PUE!$E18</f>
        <v>1.3155517838232704</v>
      </c>
      <c r="J18" s="7">
        <f>1+($B18-1)*(J$1-$B$1)^[1]PUE!$E18</f>
        <v>1.3016344572840737</v>
      </c>
      <c r="K18" s="7">
        <f>1+($B18-1)*(K$1-$B$1)^[1]PUE!$E18</f>
        <v>1.2898689000329933</v>
      </c>
      <c r="L18" s="7">
        <f>1+($B18-1)*(L$1-$B$1)^[1]PUE!$E18</f>
        <v>1.2797336652421984</v>
      </c>
      <c r="M18" s="7">
        <f>1+($B18-1)*(M$1-$B$1)^[1]PUE!$E18</f>
        <v>1.2708708564447073</v>
      </c>
      <c r="N18" s="7">
        <f>1+($B18-1)*(N$1-$B$1)^[1]PUE!$E18</f>
        <v>1.2630251637997154</v>
      </c>
      <c r="O18" s="7">
        <f>1+($B18-1)*(O$1-$B$1)^[1]PUE!$E18</f>
        <v>1.2560086593662119</v>
      </c>
      <c r="P18" s="7">
        <f>1+($B18-1)*(P$1-$B$1)^[1]PUE!$E18</f>
        <v>1.2496793728533897</v>
      </c>
      <c r="Q18" s="7">
        <f>1+($B18-1)*(Q$1-$B$1)^[1]PUE!$E18</f>
        <v>1.243927679162101</v>
      </c>
      <c r="R18" s="7">
        <f>1+($B18-1)*(R$1-$B$1)^[1]PUE!$E18</f>
        <v>1.2386673312797361</v>
      </c>
      <c r="S18" s="7">
        <f>1+($B18-1)*(S$1-$B$1)^[1]PUE!$E18</f>
        <v>1.2338293690370594</v>
      </c>
      <c r="T18" s="7">
        <f>1+($B18-1)*(T$1-$B$1)^[1]PUE!$E18</f>
        <v>1.2293578704992332</v>
      </c>
      <c r="U18" s="7">
        <f>1+($B18-1)*(U$1-$B$1)^[1]PUE!$E18</f>
        <v>1.2252069195554862</v>
      </c>
      <c r="V18" s="7">
        <f>1+($B18-1)*(V$1-$B$1)^[1]PUE!$E18</f>
        <v>1.2213383973223528</v>
      </c>
      <c r="W18" s="7">
        <f>1+($B18-1)*(W$1-$B$1)^[1]PUE!$E18</f>
        <v>1.2177203444642415</v>
      </c>
      <c r="X18" s="7">
        <f>1+($B18-1)*(X$1-$B$1)^[1]PUE!$E18</f>
        <v>1.2143257272766768</v>
      </c>
      <c r="Y18" s="7">
        <f>1+($B18-1)*(Y$1-$B$1)^[1]PUE!$E18</f>
        <v>1.211131494543243</v>
      </c>
      <c r="Z18" s="7">
        <f>1+($B18-1)*(Z$1-$B$1)^[1]PUE!$E18</f>
        <v>1.2081178472404188</v>
      </c>
      <c r="AA18" s="7">
        <f>1+($B18-1)*(AA$1-$B$1)^[1]PUE!$E18</f>
        <v>1.2052676663644719</v>
      </c>
      <c r="AB18" s="7">
        <f>1+($B18-1)*(AB$1-$B$1)^[1]PUE!$E18</f>
        <v>1.2025660598115722</v>
      </c>
      <c r="AC18" s="7">
        <f>1+($B18-1)*(AC$1-$B$1)^[1]PUE!$E18</f>
        <v>1.2</v>
      </c>
      <c r="AD18" s="8" t="s">
        <v>2</v>
      </c>
    </row>
    <row r="19" spans="1:30" ht="15" x14ac:dyDescent="0.25">
      <c r="A19" s="2" t="s">
        <v>16</v>
      </c>
      <c r="B19" s="7">
        <v>1.5812825299787383</v>
      </c>
      <c r="C19" s="7">
        <f>1+($B19-1)*(C$1-$B$1)^[1]PUE!$E19</f>
        <v>1.5812825299787383</v>
      </c>
      <c r="D19" s="7">
        <f>1+($B19-1)*(D$1-$B$1)^[1]PUE!$E19</f>
        <v>1.4644496503728146</v>
      </c>
      <c r="E19" s="7">
        <f>1+($B19-1)*(E$1-$B$1)^[1]PUE!$E19</f>
        <v>1.4073191658662996</v>
      </c>
      <c r="F19" s="7">
        <f>1+($B19-1)*(F$1-$B$1)^[1]PUE!$E19</f>
        <v>1.371099192916257</v>
      </c>
      <c r="G19" s="7">
        <f>1+($B19-1)*(G$1-$B$1)^[1]PUE!$E19</f>
        <v>1.345237972845174</v>
      </c>
      <c r="H19" s="7">
        <f>1+($B19-1)*(H$1-$B$1)^[1]PUE!$E19</f>
        <v>1.325451453329707</v>
      </c>
      <c r="I19" s="7">
        <f>1+($B19-1)*(I$1-$B$1)^[1]PUE!$E19</f>
        <v>1.3096095715390175</v>
      </c>
      <c r="J19" s="7">
        <f>1+($B19-1)*(J$1-$B$1)^[1]PUE!$E19</f>
        <v>1.296511389065647</v>
      </c>
      <c r="K19" s="7">
        <f>1+($B19-1)*(K$1-$B$1)^[1]PUE!$E19</f>
        <v>1.2854186980091877</v>
      </c>
      <c r="L19" s="7">
        <f>1+($B19-1)*(L$1-$B$1)^[1]PUE!$E19</f>
        <v>1.2758480558313448</v>
      </c>
      <c r="M19" s="7">
        <f>1+($B19-1)*(M$1-$B$1)^[1]PUE!$E19</f>
        <v>1.2674671175074763</v>
      </c>
      <c r="N19" s="7">
        <f>1+($B19-1)*(N$1-$B$1)^[1]PUE!$E19</f>
        <v>1.2600384596417094</v>
      </c>
      <c r="O19" s="7">
        <f>1+($B19-1)*(O$1-$B$1)^[1]PUE!$E19</f>
        <v>1.2533870924384223</v>
      </c>
      <c r="P19" s="7">
        <f>1+($B19-1)*(P$1-$B$1)^[1]PUE!$E19</f>
        <v>1.2473806623065609</v>
      </c>
      <c r="Q19" s="7">
        <f>1+($B19-1)*(Q$1-$B$1)^[1]PUE!$E19</f>
        <v>1.2419168577624584</v>
      </c>
      <c r="R19" s="7">
        <f>1+($B19-1)*(R$1-$B$1)^[1]PUE!$E19</f>
        <v>1.2369151038964383</v>
      </c>
      <c r="S19" s="7">
        <f>1+($B19-1)*(S$1-$B$1)^[1]PUE!$E19</f>
        <v>1.2323109147006892</v>
      </c>
      <c r="T19" s="7">
        <f>1+($B19-1)*(T$1-$B$1)^[1]PUE!$E19</f>
        <v>1.2280519500647644</v>
      </c>
      <c r="U19" s="7">
        <f>1+($B19-1)*(U$1-$B$1)^[1]PUE!$E19</f>
        <v>1.2240951989606663</v>
      </c>
      <c r="V19" s="7">
        <f>1+($B19-1)*(V$1-$B$1)^[1]PUE!$E19</f>
        <v>1.2204049261407786</v>
      </c>
      <c r="W19" s="7">
        <f>1+($B19-1)*(W$1-$B$1)^[1]PUE!$E19</f>
        <v>1.2169511483995705</v>
      </c>
      <c r="X19" s="7">
        <f>1+($B19-1)*(X$1-$B$1)^[1]PUE!$E19</f>
        <v>1.2137084856431446</v>
      </c>
      <c r="Y19" s="7">
        <f>1+($B19-1)*(Y$1-$B$1)^[1]PUE!$E19</f>
        <v>1.2106552820790186</v>
      </c>
      <c r="Z19" s="7">
        <f>1+($B19-1)*(Z$1-$B$1)^[1]PUE!$E19</f>
        <v>1.2077729252735236</v>
      </c>
      <c r="AA19" s="7">
        <f>1+($B19-1)*(AA$1-$B$1)^[1]PUE!$E19</f>
        <v>1.2050453123003793</v>
      </c>
      <c r="AB19" s="7">
        <f>1+($B19-1)*(AB$1-$B$1)^[1]PUE!$E19</f>
        <v>1.202458426707429</v>
      </c>
      <c r="AC19" s="7">
        <f>1+($B19-1)*(AC$1-$B$1)^[1]PUE!$E19</f>
        <v>1.2</v>
      </c>
      <c r="AD19" s="8" t="s">
        <v>2</v>
      </c>
    </row>
    <row r="20" spans="1:30" ht="15" x14ac:dyDescent="0.25">
      <c r="A20" s="6" t="s">
        <v>8</v>
      </c>
      <c r="B20" s="7">
        <v>1.6021374701932229</v>
      </c>
      <c r="C20" s="7">
        <f>1+($B20-1)*(C$1-$B$1)^[1]PUE!$E20</f>
        <v>1.6021374701932229</v>
      </c>
      <c r="D20" s="7">
        <f>1+($B20-1)*(D$1-$B$1)^[1]PUE!$E20</f>
        <v>1.4775595325214892</v>
      </c>
      <c r="E20" s="7">
        <f>1+($B20-1)*(E$1-$B$1)^[1]PUE!$E20</f>
        <v>1.4170042049430367</v>
      </c>
      <c r="F20" s="7">
        <f>1+($B20-1)*(F$1-$B$1)^[1]PUE!$E20</f>
        <v>1.3787558794986783</v>
      </c>
      <c r="G20" s="7">
        <f>1+($B20-1)*(G$1-$B$1)^[1]PUE!$E20</f>
        <v>1.3515211676813195</v>
      </c>
      <c r="H20" s="7">
        <f>1+($B20-1)*(H$1-$B$1)^[1]PUE!$E20</f>
        <v>1.3307290162629932</v>
      </c>
      <c r="I20" s="7">
        <f>1+($B20-1)*(I$1-$B$1)^[1]PUE!$E20</f>
        <v>1.3141119571167241</v>
      </c>
      <c r="J20" s="7">
        <f>1+($B20-1)*(J$1-$B$1)^[1]PUE!$E20</f>
        <v>1.3003939959011541</v>
      </c>
      <c r="K20" s="7">
        <f>1+($B20-1)*(K$1-$B$1)^[1]PUE!$E20</f>
        <v>1.2887920376128943</v>
      </c>
      <c r="L20" s="7">
        <f>1+($B20-1)*(L$1-$B$1)^[1]PUE!$E20</f>
        <v>1.2787939512474278</v>
      </c>
      <c r="M20" s="7">
        <f>1+($B20-1)*(M$1-$B$1)^[1]PUE!$E20</f>
        <v>1.270048098550443</v>
      </c>
      <c r="N20" s="7">
        <f>1+($B20-1)*(N$1-$B$1)^[1]PUE!$E20</f>
        <v>1.2623035473065045</v>
      </c>
      <c r="O20" s="7">
        <f>1+($B20-1)*(O$1-$B$1)^[1]PUE!$E20</f>
        <v>1.255375533989048</v>
      </c>
      <c r="P20" s="7">
        <f>1+($B20-1)*(P$1-$B$1)^[1]PUE!$E20</f>
        <v>1.2491244388958824</v>
      </c>
      <c r="Q20" s="7">
        <f>1+($B20-1)*(Q$1-$B$1)^[1]PUE!$E20</f>
        <v>1.2434424235425141</v>
      </c>
      <c r="R20" s="7">
        <f>1+($B20-1)*(R$1-$B$1)^[1]PUE!$E20</f>
        <v>1.2382446257808586</v>
      </c>
      <c r="S20" s="7">
        <f>1+($B20-1)*(S$1-$B$1)^[1]PUE!$E20</f>
        <v>1.2334631772673559</v>
      </c>
      <c r="T20" s="7">
        <f>1+($B20-1)*(T$1-$B$1)^[1]PUE!$E20</f>
        <v>1.2290430297155992</v>
      </c>
      <c r="U20" s="7">
        <f>1+($B20-1)*(U$1-$B$1)^[1]PUE!$E20</f>
        <v>1.2249389752745194</v>
      </c>
      <c r="V20" s="7">
        <f>1+($B20-1)*(V$1-$B$1)^[1]PUE!$E20</f>
        <v>1.2211134759390017</v>
      </c>
      <c r="W20" s="7">
        <f>1+($B20-1)*(W$1-$B$1)^[1]PUE!$E20</f>
        <v>1.2175350537453316</v>
      </c>
      <c r="X20" s="7">
        <f>1+($B20-1)*(X$1-$B$1)^[1]PUE!$E20</f>
        <v>1.2141770776375744</v>
      </c>
      <c r="Y20" s="7">
        <f>1+($B20-1)*(Y$1-$B$1)^[1]PUE!$E20</f>
        <v>1.2110168360510289</v>
      </c>
      <c r="Z20" s="7">
        <f>1+($B20-1)*(Z$1-$B$1)^[1]PUE!$E20</f>
        <v>1.2080348186772458</v>
      </c>
      <c r="AA20" s="7">
        <f>1+($B20-1)*(AA$1-$B$1)^[1]PUE!$E20</f>
        <v>1.2052141536522984</v>
      </c>
      <c r="AB20" s="7">
        <f>1+($B20-1)*(AB$1-$B$1)^[1]PUE!$E20</f>
        <v>1.2025401617841522</v>
      </c>
      <c r="AC20" s="7">
        <f>1+($B20-1)*(AC$1-$B$1)^[1]PUE!$E20</f>
        <v>1.2</v>
      </c>
      <c r="AD20" s="8" t="s">
        <v>2</v>
      </c>
    </row>
    <row r="21" spans="1:30" ht="15" x14ac:dyDescent="0.25">
      <c r="A21" s="2" t="s">
        <v>9</v>
      </c>
      <c r="B21" s="7">
        <v>1.6033849414960266</v>
      </c>
      <c r="C21" s="7">
        <f>1+($B21-1)*(C$1-$B$1)^[1]PUE!$E21</f>
        <v>1.6033849414960266</v>
      </c>
      <c r="D21" s="7">
        <f>1+($B21-1)*(D$1-$B$1)^[1]PUE!$E21</f>
        <v>1.4783406647710935</v>
      </c>
      <c r="E21" s="7">
        <f>1+($B21-1)*(E$1-$B$1)^[1]PUE!$E21</f>
        <v>1.4175799553320099</v>
      </c>
      <c r="F21" s="7">
        <f>1+($B21-1)*(F$1-$B$1)^[1]PUE!$E21</f>
        <v>1.379210311424649</v>
      </c>
      <c r="G21" s="7">
        <f>1+($B21-1)*(G$1-$B$1)^[1]PUE!$E21</f>
        <v>1.3518936121214822</v>
      </c>
      <c r="H21" s="7">
        <f>1+($B21-1)*(H$1-$B$1)^[1]PUE!$E21</f>
        <v>1.3310415287019763</v>
      </c>
      <c r="I21" s="7">
        <f>1+($B21-1)*(I$1-$B$1)^[1]PUE!$E21</f>
        <v>1.3143783351839502</v>
      </c>
      <c r="J21" s="7">
        <f>1+($B21-1)*(J$1-$B$1)^[1]PUE!$E21</f>
        <v>1.300623532309539</v>
      </c>
      <c r="K21" s="7">
        <f>1+($B21-1)*(K$1-$B$1)^[1]PUE!$E21</f>
        <v>1.2889913338949839</v>
      </c>
      <c r="L21" s="7">
        <f>1+($B21-1)*(L$1-$B$1)^[1]PUE!$E21</f>
        <v>1.2789678906032156</v>
      </c>
      <c r="M21" s="7">
        <f>1+($B21-1)*(M$1-$B$1)^[1]PUE!$E21</f>
        <v>1.2702004095879311</v>
      </c>
      <c r="N21" s="7">
        <f>1+($B21-1)*(N$1-$B$1)^[1]PUE!$E21</f>
        <v>1.2624371508402739</v>
      </c>
      <c r="O21" s="7">
        <f>1+($B21-1)*(O$1-$B$1)^[1]PUE!$E21</f>
        <v>1.2554927668086291</v>
      </c>
      <c r="P21" s="7">
        <f>1+($B21-1)*(P$1-$B$1)^[1]PUE!$E21</f>
        <v>1.2492272038951948</v>
      </c>
      <c r="Q21" s="7">
        <f>1+($B21-1)*(Q$1-$B$1)^[1]PUE!$E21</f>
        <v>1.2435322937741491</v>
      </c>
      <c r="R21" s="7">
        <f>1+($B21-1)*(R$1-$B$1)^[1]PUE!$E21</f>
        <v>1.2383229185903144</v>
      </c>
      <c r="S21" s="7">
        <f>1+($B21-1)*(S$1-$B$1)^[1]PUE!$E21</f>
        <v>1.2335310083741842</v>
      </c>
      <c r="T21" s="7">
        <f>1+($B21-1)*(T$1-$B$1)^[1]PUE!$E21</f>
        <v>1.2291013534836814</v>
      </c>
      <c r="U21" s="7">
        <f>1+($B21-1)*(U$1-$B$1)^[1]PUE!$E21</f>
        <v>1.2249886152424649</v>
      </c>
      <c r="V21" s="7">
        <f>1+($B21-1)*(V$1-$B$1)^[1]PUE!$E21</f>
        <v>1.2211551483371095</v>
      </c>
      <c r="W21" s="7">
        <f>1+($B21-1)*(W$1-$B$1)^[1]PUE!$E21</f>
        <v>1.2175693858682917</v>
      </c>
      <c r="X21" s="7">
        <f>1+($B21-1)*(X$1-$B$1)^[1]PUE!$E21</f>
        <v>1.2142046223812895</v>
      </c>
      <c r="Y21" s="7">
        <f>1+($B21-1)*(Y$1-$B$1)^[1]PUE!$E21</f>
        <v>1.2110380835465564</v>
      </c>
      <c r="Z21" s="7">
        <f>1+($B21-1)*(Z$1-$B$1)^[1]PUE!$E21</f>
        <v>1.2080502056984048</v>
      </c>
      <c r="AA21" s="7">
        <f>1+($B21-1)*(AA$1-$B$1)^[1]PUE!$E21</f>
        <v>1.2052240712949902</v>
      </c>
      <c r="AB21" s="7">
        <f>1+($B21-1)*(AB$1-$B$1)^[1]PUE!$E21</f>
        <v>1.2025449617891242</v>
      </c>
      <c r="AC21" s="7">
        <f>1+($B21-1)*(AC$1-$B$1)^[1]PUE!$E21</f>
        <v>1.2</v>
      </c>
      <c r="AD21" s="8" t="s">
        <v>2</v>
      </c>
    </row>
    <row r="22" spans="1:30" ht="15" x14ac:dyDescent="0.25">
      <c r="A22" s="2" t="s">
        <v>11</v>
      </c>
      <c r="B22" s="7">
        <v>1.3788870113166367</v>
      </c>
      <c r="C22" s="7">
        <f>1+($B22-1)*(C$1-$B$1)^[1]PUE!$E22</f>
        <v>1.3788870113166367</v>
      </c>
      <c r="D22" s="7">
        <f>1+($B22-1)*(D$1-$B$1)^[1]PUE!$E22</f>
        <v>1.3312477827334273</v>
      </c>
      <c r="E22" s="7">
        <f>1+($B22-1)*(E$1-$B$1)^[1]PUE!$E22</f>
        <v>1.3062079604662056</v>
      </c>
      <c r="F22" s="7">
        <f>1+($B22-1)*(F$1-$B$1)^[1]PUE!$E22</f>
        <v>1.2895984562376941</v>
      </c>
      <c r="G22" s="7">
        <f>1+($B22-1)*(G$1-$B$1)^[1]PUE!$E22</f>
        <v>1.2773381211829105</v>
      </c>
      <c r="H22" s="7">
        <f>1+($B22-1)*(H$1-$B$1)^[1]PUE!$E22</f>
        <v>1.2677070074460528</v>
      </c>
      <c r="I22" s="7">
        <f>1+($B22-1)*(I$1-$B$1)^[1]PUE!$E22</f>
        <v>1.2598254231161274</v>
      </c>
      <c r="J22" s="7">
        <f>1+($B22-1)*(J$1-$B$1)^[1]PUE!$E22</f>
        <v>1.2531858935422615</v>
      </c>
      <c r="K22" s="7">
        <f>1+($B22-1)*(K$1-$B$1)^[1]PUE!$E22</f>
        <v>1.2474703862954941</v>
      </c>
      <c r="L22" s="7">
        <f>1+($B22-1)*(L$1-$B$1)^[1]PUE!$E22</f>
        <v>1.2424671075159122</v>
      </c>
      <c r="M22" s="7">
        <f>1+($B22-1)*(M$1-$B$1)^[1]PUE!$E22</f>
        <v>1.2380282888749579</v>
      </c>
      <c r="N22" s="7">
        <f>1+($B22-1)*(N$1-$B$1)^[1]PUE!$E22</f>
        <v>1.2340469585656981</v>
      </c>
      <c r="O22" s="7">
        <f>1+($B22-1)*(O$1-$B$1)^[1]PUE!$E22</f>
        <v>1.2304433224967979</v>
      </c>
      <c r="P22" s="7">
        <f>1+($B22-1)*(P$1-$B$1)^[1]PUE!$E22</f>
        <v>1.2271563625417228</v>
      </c>
      <c r="Q22" s="7">
        <f>1+($B22-1)*(Q$1-$B$1)^[1]PUE!$E22</f>
        <v>1.2241384315388366</v>
      </c>
      <c r="R22" s="7">
        <f>1+($B22-1)*(R$1-$B$1)^[1]PUE!$E22</f>
        <v>1.2213516519445096</v>
      </c>
      <c r="S22" s="7">
        <f>1+($B22-1)*(S$1-$B$1)^[1]PUE!$E22</f>
        <v>1.2187654435443418</v>
      </c>
      <c r="T22" s="7">
        <f>1+($B22-1)*(T$1-$B$1)^[1]PUE!$E22</f>
        <v>1.2163547820436138</v>
      </c>
      <c r="U22" s="7">
        <f>1+($B22-1)*(U$1-$B$1)^[1]PUE!$E22</f>
        <v>1.2140989446967601</v>
      </c>
      <c r="V22" s="7">
        <f>1+($B22-1)*(V$1-$B$1)^[1]PUE!$E22</f>
        <v>1.2119805888075497</v>
      </c>
      <c r="W22" s="7">
        <f>1+($B22-1)*(W$1-$B$1)^[1]PUE!$E22</f>
        <v>1.2099850628639506</v>
      </c>
      <c r="X22" s="7">
        <f>1+($B22-1)*(X$1-$B$1)^[1]PUE!$E22</f>
        <v>1.2080998835079342</v>
      </c>
      <c r="Y22" s="7">
        <f>1+($B22-1)*(Y$1-$B$1)^[1]PUE!$E22</f>
        <v>1.2063143328341996</v>
      </c>
      <c r="Z22" s="7">
        <f>1+($B22-1)*(Z$1-$B$1)^[1]PUE!$E22</f>
        <v>1.2046191444013366</v>
      </c>
      <c r="AA22" s="7">
        <f>1+($B22-1)*(AA$1-$B$1)^[1]PUE!$E22</f>
        <v>1.203006255595781</v>
      </c>
      <c r="AB22" s="7">
        <f>1+($B22-1)*(AB$1-$B$1)^[1]PUE!$E22</f>
        <v>1.2014686102791632</v>
      </c>
      <c r="AC22" s="7">
        <f>1+($B22-1)*(AC$1-$B$1)^[1]PUE!$E22</f>
        <v>1.2</v>
      </c>
      <c r="AD22" s="8" t="s">
        <v>2</v>
      </c>
    </row>
    <row r="23" spans="1:30" ht="15" x14ac:dyDescent="0.25">
      <c r="A23" s="2" t="s">
        <v>5</v>
      </c>
      <c r="B23" s="7">
        <v>1.502598155702122</v>
      </c>
      <c r="C23" s="7">
        <f>1+($B23-1)*(C$1-$B$1)^[1]PUE!$E23</f>
        <v>1.502598155702122</v>
      </c>
      <c r="D23" s="7">
        <f>1+($B23-1)*(D$1-$B$1)^[1]PUE!$E23</f>
        <v>1.414053801530633</v>
      </c>
      <c r="E23" s="7">
        <f>1+($B23-1)*(E$1-$B$1)^[1]PUE!$E23</f>
        <v>1.3696782721245186</v>
      </c>
      <c r="F23" s="7">
        <f>1+($B23-1)*(F$1-$B$1)^[1]PUE!$E23</f>
        <v>1.3411085946435057</v>
      </c>
      <c r="G23" s="7">
        <f>1+($B23-1)*(G$1-$B$1)^[1]PUE!$E23</f>
        <v>1.3204777398791472</v>
      </c>
      <c r="H23" s="7">
        <f>1+($B23-1)*(H$1-$B$1)^[1]PUE!$E23</f>
        <v>1.3045508467944953</v>
      </c>
      <c r="I23" s="7">
        <f>1+($B23-1)*(I$1-$B$1)^[1]PUE!$E23</f>
        <v>1.2917039770201042</v>
      </c>
      <c r="J23" s="7">
        <f>1+($B23-1)*(J$1-$B$1)^[1]PUE!$E23</f>
        <v>1.2810143824535307</v>
      </c>
      <c r="K23" s="7">
        <f>1+($B23-1)*(K$1-$B$1)^[1]PUE!$E23</f>
        <v>1.2719111149344648</v>
      </c>
      <c r="L23" s="7">
        <f>1+($B23-1)*(L$1-$B$1)^[1]PUE!$E23</f>
        <v>1.2640181325725983</v>
      </c>
      <c r="M23" s="7">
        <f>1+($B23-1)*(M$1-$B$1)^[1]PUE!$E23</f>
        <v>1.2570756204478515</v>
      </c>
      <c r="N23" s="7">
        <f>1+($B23-1)*(N$1-$B$1)^[1]PUE!$E23</f>
        <v>1.2508971321203393</v>
      </c>
      <c r="O23" s="7">
        <f>1+($B23-1)*(O$1-$B$1)^[1]PUE!$E23</f>
        <v>1.2453446879923025</v>
      </c>
      <c r="P23" s="7">
        <f>1+($B23-1)*(P$1-$B$1)^[1]PUE!$E23</f>
        <v>1.2403135372394056</v>
      </c>
      <c r="Q23" s="7">
        <f>1+($B23-1)*(Q$1-$B$1)^[1]PUE!$E23</f>
        <v>1.2357224271294593</v>
      </c>
      <c r="R23" s="7">
        <f>1+($B23-1)*(R$1-$B$1)^[1]PUE!$E23</f>
        <v>1.2315071633661714</v>
      </c>
      <c r="S23" s="7">
        <f>1+($B23-1)*(S$1-$B$1)^[1]PUE!$E23</f>
        <v>1.2276162170086071</v>
      </c>
      <c r="T23" s="7">
        <f>1+($B23-1)*(T$1-$B$1)^[1]PUE!$E23</f>
        <v>1.2240076481374416</v>
      </c>
      <c r="U23" s="7">
        <f>1+($B23-1)*(U$1-$B$1)^[1]PUE!$E23</f>
        <v>1.2206469019850053</v>
      </c>
      <c r="V23" s="7">
        <f>1+($B23-1)*(V$1-$B$1)^[1]PUE!$E23</f>
        <v>1.2175051981875815</v>
      </c>
      <c r="W23" s="7">
        <f>1+($B23-1)*(W$1-$B$1)^[1]PUE!$E23</f>
        <v>1.2145583324833262</v>
      </c>
      <c r="X23" s="7">
        <f>1+($B23-1)*(X$1-$B$1)^[1]PUE!$E23</f>
        <v>1.2117857710372606</v>
      </c>
      <c r="Y23" s="7">
        <f>1+($B23-1)*(Y$1-$B$1)^[1]PUE!$E23</f>
        <v>1.2091699561463316</v>
      </c>
      <c r="Z23" s="7">
        <f>1+($B23-1)*(Z$1-$B$1)^[1]PUE!$E23</f>
        <v>1.2066957671232086</v>
      </c>
      <c r="AA23" s="7">
        <f>1+($B23-1)*(AA$1-$B$1)^[1]PUE!$E23</f>
        <v>1.2043500967777481</v>
      </c>
      <c r="AB23" s="7">
        <f>1+($B23-1)*(AB$1-$B$1)^[1]PUE!$E23</f>
        <v>1.2021215151628359</v>
      </c>
      <c r="AC23" s="7">
        <f>1+($B23-1)*(AC$1-$B$1)^[1]PUE!$E23</f>
        <v>1.2</v>
      </c>
      <c r="AD23" s="8" t="s">
        <v>2</v>
      </c>
    </row>
    <row r="24" spans="1:30" ht="15" x14ac:dyDescent="0.25">
      <c r="A24" s="2" t="s">
        <v>27</v>
      </c>
      <c r="B24" s="7">
        <v>1.5829922955696267</v>
      </c>
      <c r="C24" s="7">
        <f>1+($B24-1)*(C$1-$B$1)^[1]PUE!$E24</f>
        <v>1.5829922955696267</v>
      </c>
      <c r="D24" s="7">
        <f>1+($B24-1)*(D$1-$B$1)^[1]PUE!$E24</f>
        <v>1.4655281262544035</v>
      </c>
      <c r="E24" s="7">
        <f>1+($B24-1)*(E$1-$B$1)^[1]PUE!$E24</f>
        <v>1.4081174917511881</v>
      </c>
      <c r="F24" s="7">
        <f>1+($B24-1)*(F$1-$B$1)^[1]PUE!$E24</f>
        <v>1.3717312183725996</v>
      </c>
      <c r="G24" s="7">
        <f>1+($B24-1)*(G$1-$B$1)^[1]PUE!$E24</f>
        <v>1.3457571922576552</v>
      </c>
      <c r="H24" s="7">
        <f>1+($B24-1)*(H$1-$B$1)^[1]PUE!$E24</f>
        <v>1.3258879622773456</v>
      </c>
      <c r="I24" s="7">
        <f>1+($B24-1)*(I$1-$B$1)^[1]PUE!$E24</f>
        <v>1.3099822475906859</v>
      </c>
      <c r="J24" s="7">
        <f>1+($B24-1)*(J$1-$B$1)^[1]PUE!$E24</f>
        <v>1.2968329751084939</v>
      </c>
      <c r="K24" s="7">
        <f>1+($B24-1)*(K$1-$B$1)^[1]PUE!$E24</f>
        <v>1.285698264520871</v>
      </c>
      <c r="L24" s="7">
        <f>1+($B24-1)*(L$1-$B$1)^[1]PUE!$E24</f>
        <v>1.2760923241591389</v>
      </c>
      <c r="M24" s="7">
        <f>1+($B24-1)*(M$1-$B$1)^[1]PUE!$E24</f>
        <v>1.2676812279865377</v>
      </c>
      <c r="N24" s="7">
        <f>1+($B24-1)*(N$1-$B$1)^[1]PUE!$E24</f>
        <v>1.2602264448445353</v>
      </c>
      <c r="O24" s="7">
        <f>1+($B24-1)*(O$1-$B$1)^[1]PUE!$E24</f>
        <v>1.2535521829580025</v>
      </c>
      <c r="P24" s="7">
        <f>1+($B24-1)*(P$1-$B$1)^[1]PUE!$E24</f>
        <v>1.2475254921714249</v>
      </c>
      <c r="Q24" s="7">
        <f>1+($B24-1)*(Q$1-$B$1)^[1]PUE!$E24</f>
        <v>1.2420436069764063</v>
      </c>
      <c r="R24" s="7">
        <f>1+($B24-1)*(R$1-$B$1)^[1]PUE!$E24</f>
        <v>1.2370256001029329</v>
      </c>
      <c r="S24" s="7">
        <f>1+($B24-1)*(S$1-$B$1)^[1]PUE!$E24</f>
        <v>1.232406707423136</v>
      </c>
      <c r="T24" s="7">
        <f>1+($B24-1)*(T$1-$B$1)^[1]PUE!$E24</f>
        <v>1.2281343660409518</v>
      </c>
      <c r="U24" s="7">
        <f>1+($B24-1)*(U$1-$B$1)^[1]PUE!$E24</f>
        <v>1.2241653841319544</v>
      </c>
      <c r="V24" s="7">
        <f>1+($B24-1)*(V$1-$B$1)^[1]PUE!$E24</f>
        <v>1.2204638780233712</v>
      </c>
      <c r="W24" s="7">
        <f>1+($B24-1)*(W$1-$B$1)^[1]PUE!$E24</f>
        <v>1.2169997413953775</v>
      </c>
      <c r="X24" s="7">
        <f>1+($B24-1)*(X$1-$B$1)^[1]PUE!$E24</f>
        <v>1.2137474910818409</v>
      </c>
      <c r="Y24" s="7">
        <f>1+($B24-1)*(Y$1-$B$1)^[1]PUE!$E24</f>
        <v>1.2106853842698535</v>
      </c>
      <c r="Z24" s="7">
        <f>1+($B24-1)*(Z$1-$B$1)^[1]PUE!$E24</f>
        <v>1.2077947344946574</v>
      </c>
      <c r="AA24" s="7">
        <f>1+($B24-1)*(AA$1-$B$1)^[1]PUE!$E24</f>
        <v>1.2050593754092236</v>
      </c>
      <c r="AB24" s="7">
        <f>1+($B24-1)*(AB$1-$B$1)^[1]PUE!$E24</f>
        <v>1.202465235882445</v>
      </c>
      <c r="AC24" s="7">
        <f>1+($B24-1)*(AC$1-$B$1)^[1]PUE!$E24</f>
        <v>1.2</v>
      </c>
      <c r="AD24" s="8" t="s">
        <v>2</v>
      </c>
    </row>
    <row r="25" spans="1:30" ht="15" x14ac:dyDescent="0.25">
      <c r="A25" s="2" t="s">
        <v>10</v>
      </c>
      <c r="B25" s="7">
        <v>1.6006301650037311</v>
      </c>
      <c r="C25" s="7">
        <f>1+($B25-1)*(C$1-$B$1)^[1]PUE!$E25</f>
        <v>1.6006301650037311</v>
      </c>
      <c r="D25" s="7">
        <f>1+($B25-1)*(D$1-$B$1)^[1]PUE!$E25</f>
        <v>1.4766152451912085</v>
      </c>
      <c r="E25" s="7">
        <f>1+($B25-1)*(E$1-$B$1)^[1]PUE!$E25</f>
        <v>1.4163080016521072</v>
      </c>
      <c r="F25" s="7">
        <f>1+($B25-1)*(F$1-$B$1)^[1]PUE!$E25</f>
        <v>1.378206265992759</v>
      </c>
      <c r="G25" s="7">
        <f>1+($B25-1)*(G$1-$B$1)^[1]PUE!$E25</f>
        <v>1.3510706443053047</v>
      </c>
      <c r="H25" s="7">
        <f>1+($B25-1)*(H$1-$B$1)^[1]PUE!$E25</f>
        <v>1.3303509411340479</v>
      </c>
      <c r="I25" s="7">
        <f>1+($B25-1)*(I$1-$B$1)^[1]PUE!$E25</f>
        <v>1.3137896605066524</v>
      </c>
      <c r="J25" s="7">
        <f>1+($B25-1)*(J$1-$B$1)^[1]PUE!$E25</f>
        <v>1.3001162490696259</v>
      </c>
      <c r="K25" s="7">
        <f>1+($B25-1)*(K$1-$B$1)^[1]PUE!$E25</f>
        <v>1.2885508626402309</v>
      </c>
      <c r="L25" s="7">
        <f>1+($B25-1)*(L$1-$B$1)^[1]PUE!$E25</f>
        <v>1.278583446127733</v>
      </c>
      <c r="M25" s="7">
        <f>1+($B25-1)*(M$1-$B$1)^[1]PUE!$E25</f>
        <v>1.2698637562866741</v>
      </c>
      <c r="N25" s="7">
        <f>1+($B25-1)*(N$1-$B$1)^[1]PUE!$E25</f>
        <v>1.2621418369934396</v>
      </c>
      <c r="O25" s="7">
        <f>1+($B25-1)*(O$1-$B$1)^[1]PUE!$E25</f>
        <v>1.2552336304866165</v>
      </c>
      <c r="P25" s="7">
        <f>1+($B25-1)*(P$1-$B$1)^[1]PUE!$E25</f>
        <v>1.2490000414479934</v>
      </c>
      <c r="Q25" s="7">
        <f>1+($B25-1)*(Q$1-$B$1)^[1]PUE!$E25</f>
        <v>1.2433336300526152</v>
      </c>
      <c r="R25" s="7">
        <f>1+($B25-1)*(R$1-$B$1)^[1]PUE!$E25</f>
        <v>1.2381498432322275</v>
      </c>
      <c r="S25" s="7">
        <f>1+($B25-1)*(S$1-$B$1)^[1]PUE!$E25</f>
        <v>1.2333810563700578</v>
      </c>
      <c r="T25" s="7">
        <f>1+($B25-1)*(T$1-$B$1)^[1]PUE!$E25</f>
        <v>1.2289724162397906</v>
      </c>
      <c r="U25" s="7">
        <f>1+($B25-1)*(U$1-$B$1)^[1]PUE!$E25</f>
        <v>1.2248788731522116</v>
      </c>
      <c r="V25" s="7">
        <f>1+($B25-1)*(V$1-$B$1)^[1]PUE!$E25</f>
        <v>1.2210630188404814</v>
      </c>
      <c r="W25" s="7">
        <f>1+($B25-1)*(W$1-$B$1)^[1]PUE!$E25</f>
        <v>1.2174934828719535</v>
      </c>
      <c r="X25" s="7">
        <f>1+($B25-1)*(X$1-$B$1)^[1]PUE!$E25</f>
        <v>1.2141437241501094</v>
      </c>
      <c r="Y25" s="7">
        <f>1+($B25-1)*(Y$1-$B$1)^[1]PUE!$E25</f>
        <v>1.2109911070062336</v>
      </c>
      <c r="Z25" s="7">
        <f>1+($B25-1)*(Z$1-$B$1)^[1]PUE!$E25</f>
        <v>1.2080161856551541</v>
      </c>
      <c r="AA25" s="7">
        <f>1+($B25-1)*(AA$1-$B$1)^[1]PUE!$E25</f>
        <v>1.2052021434723914</v>
      </c>
      <c r="AB25" s="7">
        <f>1+($B25-1)*(AB$1-$B$1)^[1]PUE!$E25</f>
        <v>1.2025343488611921</v>
      </c>
      <c r="AC25" s="7">
        <f>1+($B25-1)*(AC$1-$B$1)^[1]PUE!$E25</f>
        <v>1.2</v>
      </c>
      <c r="AD25" s="8" t="s">
        <v>2</v>
      </c>
    </row>
    <row r="26" spans="1:30" ht="15" x14ac:dyDescent="0.25">
      <c r="A26" s="2" t="s">
        <v>30</v>
      </c>
      <c r="B26" s="7">
        <v>1.616404751027867</v>
      </c>
      <c r="C26" s="7">
        <f>1+($B26-1)*(C$1-$B$1)^[1]PUE!$E26</f>
        <v>1.616404751027867</v>
      </c>
      <c r="D26" s="7">
        <f>1+($B26-1)*(D$1-$B$1)^[1]PUE!$E26</f>
        <v>1.486473202758309</v>
      </c>
      <c r="E26" s="7">
        <f>1+($B26-1)*(E$1-$B$1)^[1]PUE!$E26</f>
        <v>1.423565569441025</v>
      </c>
      <c r="F26" s="7">
        <f>1+($B26-1)*(F$1-$B$1)^[1]PUE!$E26</f>
        <v>1.3839298392935775</v>
      </c>
      <c r="G26" s="7">
        <f>1+($B26-1)*(G$1-$B$1)^[1]PUE!$E26</f>
        <v>1.3557585838614696</v>
      </c>
      <c r="H26" s="7">
        <f>1+($B26-1)*(H$1-$B$1)^[1]PUE!$E26</f>
        <v>1.3342824642420819</v>
      </c>
      <c r="I26" s="7">
        <f>1+($B26-1)*(I$1-$B$1)^[1]PUE!$E26</f>
        <v>1.3171393159282121</v>
      </c>
      <c r="J26" s="7">
        <f>1+($B26-1)*(J$1-$B$1)^[1]PUE!$E26</f>
        <v>1.3030015233402796</v>
      </c>
      <c r="K26" s="7">
        <f>1+($B26-1)*(K$1-$B$1)^[1]PUE!$E26</f>
        <v>1.2910551732716753</v>
      </c>
      <c r="L26" s="7">
        <f>1+($B26-1)*(L$1-$B$1)^[1]PUE!$E26</f>
        <v>1.2807684681392493</v>
      </c>
      <c r="M26" s="7">
        <f>1+($B26-1)*(M$1-$B$1)^[1]PUE!$E26</f>
        <v>1.2717765618029229</v>
      </c>
      <c r="N26" s="7">
        <f>1+($B26-1)*(N$1-$B$1)^[1]PUE!$E26</f>
        <v>1.2638192855175341</v>
      </c>
      <c r="O26" s="7">
        <f>1+($B26-1)*(O$1-$B$1)^[1]PUE!$E26</f>
        <v>1.2567052006153909</v>
      </c>
      <c r="P26" s="7">
        <f>1+($B26-1)*(P$1-$B$1)^[1]PUE!$E26</f>
        <v>1.2502897300562852</v>
      </c>
      <c r="Q26" s="7">
        <f>1+($B26-1)*(Q$1-$B$1)^[1]PUE!$E26</f>
        <v>1.2444612681935732</v>
      </c>
      <c r="R26" s="7">
        <f>1+($B26-1)*(R$1-$B$1)^[1]PUE!$E26</f>
        <v>1.2391320333826052</v>
      </c>
      <c r="S26" s="7">
        <f>1+($B26-1)*(S$1-$B$1)^[1]PUE!$E26</f>
        <v>1.2342318559641032</v>
      </c>
      <c r="T26" s="7">
        <f>1+($B26-1)*(T$1-$B$1)^[1]PUE!$E26</f>
        <v>1.2297038465143908</v>
      </c>
      <c r="U26" s="7">
        <f>1+($B26-1)*(U$1-$B$1)^[1]PUE!$E26</f>
        <v>1.2255013048265209</v>
      </c>
      <c r="V26" s="7">
        <f>1+($B26-1)*(V$1-$B$1)^[1]PUE!$E26</f>
        <v>1.2215854691280112</v>
      </c>
      <c r="W26" s="7">
        <f>1+($B26-1)*(W$1-$B$1)^[1]PUE!$E26</f>
        <v>1.2179238474707952</v>
      </c>
      <c r="X26" s="7">
        <f>1+($B26-1)*(X$1-$B$1)^[1]PUE!$E26</f>
        <v>1.2144889607590519</v>
      </c>
      <c r="Y26" s="7">
        <f>1+($B26-1)*(Y$1-$B$1)^[1]PUE!$E26</f>
        <v>1.2112573821645811</v>
      </c>
      <c r="Z26" s="7">
        <f>1+($B26-1)*(Z$1-$B$1)^[1]PUE!$E26</f>
        <v>1.2082089934594313</v>
      </c>
      <c r="AA26" s="7">
        <f>1+($B26-1)*(AA$1-$B$1)^[1]PUE!$E26</f>
        <v>1.2053264024653771</v>
      </c>
      <c r="AB26" s="7">
        <f>1+($B26-1)*(AB$1-$B$1)^[1]PUE!$E26</f>
        <v>1.2025944817911336</v>
      </c>
      <c r="AC26" s="7">
        <f>1+($B26-1)*(AC$1-$B$1)^[1]PUE!$E26</f>
        <v>1.2</v>
      </c>
      <c r="AD26" s="8" t="s">
        <v>2</v>
      </c>
    </row>
    <row r="27" spans="1:30" ht="15" x14ac:dyDescent="0.25">
      <c r="A27" s="2" t="s">
        <v>23</v>
      </c>
      <c r="B27" s="7">
        <v>1.5349723473945722</v>
      </c>
      <c r="C27" s="7">
        <f>1+($B27-1)*(C$1-$B$1)^[1]PUE!$E27</f>
        <v>1.5349723473945722</v>
      </c>
      <c r="D27" s="7">
        <f>1+($B27-1)*(D$1-$B$1)^[1]PUE!$E27</f>
        <v>1.4349763299430069</v>
      </c>
      <c r="E27" s="7">
        <f>1+($B27-1)*(E$1-$B$1)^[1]PUE!$E27</f>
        <v>1.3853874381561788</v>
      </c>
      <c r="F27" s="7">
        <f>1+($B27-1)*(F$1-$B$1)^[1]PUE!$E27</f>
        <v>1.3536713785902259</v>
      </c>
      <c r="G27" s="7">
        <f>1+($B27-1)*(G$1-$B$1)^[1]PUE!$E27</f>
        <v>1.3308793155173984</v>
      </c>
      <c r="H27" s="7">
        <f>1+($B27-1)*(H$1-$B$1)^[1]PUE!$E27</f>
        <v>1.3133515484897997</v>
      </c>
      <c r="I27" s="7">
        <f>1+($B27-1)*(I$1-$B$1)^[1]PUE!$E27</f>
        <v>1.2992584295360288</v>
      </c>
      <c r="J27" s="7">
        <f>1+($B27-1)*(J$1-$B$1)^[1]PUE!$E27</f>
        <v>1.2875637946788967</v>
      </c>
      <c r="K27" s="7">
        <f>1+($B27-1)*(K$1-$B$1)^[1]PUE!$E27</f>
        <v>1.2776283264208388</v>
      </c>
      <c r="L27" s="7">
        <f>1+($B27-1)*(L$1-$B$1)^[1]PUE!$E27</f>
        <v>1.2690319808467776</v>
      </c>
      <c r="M27" s="7">
        <f>1+($B27-1)*(M$1-$B$1)^[1]PUE!$E27</f>
        <v>1.2614851666789564</v>
      </c>
      <c r="N27" s="7">
        <f>1+($B27-1)*(N$1-$B$1)^[1]PUE!$E27</f>
        <v>1.25478047081847</v>
      </c>
      <c r="O27" s="7">
        <f>1+($B27-1)*(O$1-$B$1)^[1]PUE!$E27</f>
        <v>1.2487646657853815</v>
      </c>
      <c r="P27" s="7">
        <f>1+($B27-1)*(P$1-$B$1)^[1]PUE!$E27</f>
        <v>1.2433216109543728</v>
      </c>
      <c r="Q27" s="7">
        <f>1+($B27-1)*(Q$1-$B$1)^[1]PUE!$E27</f>
        <v>1.2383613515112575</v>
      </c>
      <c r="R27" s="7">
        <f>1+($B27-1)*(R$1-$B$1)^[1]PUE!$E27</f>
        <v>1.2338129150844779</v>
      </c>
      <c r="S27" s="7">
        <f>1+($B27-1)*(S$1-$B$1)^[1]PUE!$E27</f>
        <v>1.2296194044821176</v>
      </c>
      <c r="T27" s="7">
        <f>1+($B27-1)*(T$1-$B$1)^[1]PUE!$E27</f>
        <v>1.2257345657264169</v>
      </c>
      <c r="U27" s="7">
        <f>1+($B27-1)*(U$1-$B$1)^[1]PUE!$E27</f>
        <v>1.2221203323770009</v>
      </c>
      <c r="V27" s="7">
        <f>1+($B27-1)*(V$1-$B$1)^[1]PUE!$E27</f>
        <v>1.2187450327777745</v>
      </c>
      <c r="W27" s="7">
        <f>1+($B27-1)*(W$1-$B$1)^[1]PUE!$E27</f>
        <v>1.2155820577777803</v>
      </c>
      <c r="X27" s="7">
        <f>1+($B27-1)*(X$1-$B$1)^[1]PUE!$E27</f>
        <v>1.2126088548136831</v>
      </c>
      <c r="Y27" s="7">
        <f>1+($B27-1)*(Y$1-$B$1)^[1]PUE!$E27</f>
        <v>1.2098061575074646</v>
      </c>
      <c r="Z27" s="7">
        <f>1+($B27-1)*(Z$1-$B$1)^[1]PUE!$E27</f>
        <v>1.2071573879986564</v>
      </c>
      <c r="AA27" s="7">
        <f>1+($B27-1)*(AA$1-$B$1)^[1]PUE!$E27</f>
        <v>1.2046481878371063</v>
      </c>
      <c r="AB27" s="7">
        <f>1+($B27-1)*(AB$1-$B$1)^[1]PUE!$E27</f>
        <v>1.2022660458429553</v>
      </c>
      <c r="AC27" s="7">
        <f>1+($B27-1)*(AC$1-$B$1)^[1]PUE!$E27</f>
        <v>1.2</v>
      </c>
      <c r="AD27" s="8" t="s">
        <v>2</v>
      </c>
    </row>
    <row r="28" spans="1:30" ht="15" x14ac:dyDescent="0.25">
      <c r="A28" s="2" t="s">
        <v>7</v>
      </c>
      <c r="B28" s="7">
        <v>1.5999999999999999</v>
      </c>
      <c r="C28" s="7">
        <f>1+($B28-1)*(C$1-$B$1)^[1]PUE!$E28</f>
        <v>1.5999999999999999</v>
      </c>
      <c r="D28" s="7">
        <f>1+($B28-1)*(D$1-$B$1)^[1]PUE!$E28</f>
        <v>1.4762203155904596</v>
      </c>
      <c r="E28" s="7">
        <f>1+($B28-1)*(E$1-$B$1)^[1]PUE!$E28</f>
        <v>1.4160167646103807</v>
      </c>
      <c r="F28" s="7">
        <f>1+($B28-1)*(F$1-$B$1)^[1]PUE!$E28</f>
        <v>1.3779763149684618</v>
      </c>
      <c r="G28" s="7">
        <f>1+($B28-1)*(G$1-$B$1)^[1]PUE!$E28</f>
        <v>1.3508821285855439</v>
      </c>
      <c r="H28" s="7">
        <f>1+($B28-1)*(H$1-$B$1)^[1]PUE!$E28</f>
        <v>1.3301927248894625</v>
      </c>
      <c r="I28" s="7">
        <f>1+($B28-1)*(I$1-$B$1)^[1]PUE!$E28</f>
        <v>1.313654775144826</v>
      </c>
      <c r="J28" s="7">
        <f>1+($B28-1)*(J$1-$B$1)^[1]PUE!$E28</f>
        <v>1.2999999999999998</v>
      </c>
      <c r="K28" s="7">
        <f>1+($B28-1)*(K$1-$B$1)^[1]PUE!$E28</f>
        <v>1.2884499140614816</v>
      </c>
      <c r="L28" s="7">
        <f>1+($B28-1)*(L$1-$B$1)^[1]PUE!$E28</f>
        <v>1.2784953300167665</v>
      </c>
      <c r="M28" s="7">
        <f>1+($B28-1)*(M$1-$B$1)^[1]PUE!$E28</f>
        <v>1.2697865878135655</v>
      </c>
      <c r="N28" s="7">
        <f>1+($B28-1)*(N$1-$B$1)^[1]PUE!$E28</f>
        <v>1.2620741394208896</v>
      </c>
      <c r="O28" s="7">
        <f>1+($B28-1)*(O$1-$B$1)^[1]PUE!$E28</f>
        <v>1.2551742221697939</v>
      </c>
      <c r="P28" s="7">
        <f>1+($B28-1)*(P$1-$B$1)^[1]PUE!$E28</f>
        <v>1.248947960009873</v>
      </c>
      <c r="Q28" s="7">
        <f>1+($B28-1)*(Q$1-$B$1)^[1]PUE!$E28</f>
        <v>1.243288079822936</v>
      </c>
      <c r="R28" s="7">
        <f>1+($B28-1)*(R$1-$B$1)^[1]PUE!$E28</f>
        <v>1.2381101577952298</v>
      </c>
      <c r="S28" s="7">
        <f>1+($B28-1)*(S$1-$B$1)^[1]PUE!$E28</f>
        <v>1.2333466712396921</v>
      </c>
      <c r="T28" s="7">
        <f>1+($B28-1)*(T$1-$B$1)^[1]PUE!$E28</f>
        <v>1.2289428485106664</v>
      </c>
      <c r="U28" s="7">
        <f>1+($B28-1)*(U$1-$B$1)^[1]PUE!$E28</f>
        <v>1.2248537060705891</v>
      </c>
      <c r="V28" s="7">
        <f>1+($B28-1)*(V$1-$B$1)^[1]PUE!$E28</f>
        <v>1.2210418899184232</v>
      </c>
      <c r="W28" s="7">
        <f>1+($B28-1)*(W$1-$B$1)^[1]PUE!$E28</f>
        <v>1.2174760746005784</v>
      </c>
      <c r="X28" s="7">
        <f>1+($B28-1)*(X$1-$B$1)^[1]PUE!$E28</f>
        <v>1.2141297566510822</v>
      </c>
      <c r="Y28" s="7">
        <f>1+($B28-1)*(Y$1-$B$1)^[1]PUE!$E28</f>
        <v>1.2109803321501755</v>
      </c>
      <c r="Z28" s="7">
        <f>1+($B28-1)*(Z$1-$B$1)^[1]PUE!$E28</f>
        <v>1.2080083823051904</v>
      </c>
      <c r="AA28" s="7">
        <f>1+($B28-1)*(AA$1-$B$1)^[1]PUE!$E28</f>
        <v>1.2051971136012036</v>
      </c>
      <c r="AB28" s="7">
        <f>1+($B28-1)*(AB$1-$B$1)^[1]PUE!$E28</f>
        <v>1.2025319143537492</v>
      </c>
      <c r="AC28" s="7">
        <f>1+($B28-1)*(AC$1-$B$1)^[1]PUE!$E28</f>
        <v>1.2</v>
      </c>
      <c r="AD28" s="8" t="s">
        <v>2</v>
      </c>
    </row>
    <row r="29" spans="1:30" ht="15" x14ac:dyDescent="0.25">
      <c r="A29" s="2" t="s">
        <v>22</v>
      </c>
      <c r="B29" s="7">
        <v>1.6</v>
      </c>
      <c r="C29" s="7">
        <f>1+($B29-1)*(C$1-$B$1)^[1]PUE!$E29</f>
        <v>1.6</v>
      </c>
      <c r="D29" s="7">
        <f>1+($B29-1)*(D$1-$B$1)^[1]PUE!$E29</f>
        <v>1.4762203155904599</v>
      </c>
      <c r="E29" s="7">
        <f>1+($B29-1)*(E$1-$B$1)^[1]PUE!$E29</f>
        <v>1.4160167646103807</v>
      </c>
      <c r="F29" s="7">
        <f>1+($B29-1)*(F$1-$B$1)^[1]PUE!$E29</f>
        <v>1.3779763149684618</v>
      </c>
      <c r="G29" s="7">
        <f>1+($B29-1)*(G$1-$B$1)^[1]PUE!$E29</f>
        <v>1.3508821285855439</v>
      </c>
      <c r="H29" s="7">
        <f>1+($B29-1)*(H$1-$B$1)^[1]PUE!$E29</f>
        <v>1.3301927248894627</v>
      </c>
      <c r="I29" s="7">
        <f>1+($B29-1)*(I$1-$B$1)^[1]PUE!$E29</f>
        <v>1.3136547751448262</v>
      </c>
      <c r="J29" s="7">
        <f>1+($B29-1)*(J$1-$B$1)^[1]PUE!$E29</f>
        <v>1.3</v>
      </c>
      <c r="K29" s="7">
        <f>1+($B29-1)*(K$1-$B$1)^[1]PUE!$E29</f>
        <v>1.2884499140614816</v>
      </c>
      <c r="L29" s="7">
        <f>1+($B29-1)*(L$1-$B$1)^[1]PUE!$E29</f>
        <v>1.2784953300167667</v>
      </c>
      <c r="M29" s="7">
        <f>1+($B29-1)*(M$1-$B$1)^[1]PUE!$E29</f>
        <v>1.2697865878135655</v>
      </c>
      <c r="N29" s="7">
        <f>1+($B29-1)*(N$1-$B$1)^[1]PUE!$E29</f>
        <v>1.2620741394208896</v>
      </c>
      <c r="O29" s="7">
        <f>1+($B29-1)*(O$1-$B$1)^[1]PUE!$E29</f>
        <v>1.2551742221697941</v>
      </c>
      <c r="P29" s="7">
        <f>1+($B29-1)*(P$1-$B$1)^[1]PUE!$E29</f>
        <v>1.248947960009873</v>
      </c>
      <c r="Q29" s="7">
        <f>1+($B29-1)*(Q$1-$B$1)^[1]PUE!$E29</f>
        <v>1.243288079822936</v>
      </c>
      <c r="R29" s="7">
        <f>1+($B29-1)*(R$1-$B$1)^[1]PUE!$E29</f>
        <v>1.2381101577952298</v>
      </c>
      <c r="S29" s="7">
        <f>1+($B29-1)*(S$1-$B$1)^[1]PUE!$E29</f>
        <v>1.2333466712396921</v>
      </c>
      <c r="T29" s="7">
        <f>1+($B29-1)*(T$1-$B$1)^[1]PUE!$E29</f>
        <v>1.2289428485106664</v>
      </c>
      <c r="U29" s="7">
        <f>1+($B29-1)*(U$1-$B$1)^[1]PUE!$E29</f>
        <v>1.2248537060705893</v>
      </c>
      <c r="V29" s="7">
        <f>1+($B29-1)*(V$1-$B$1)^[1]PUE!$E29</f>
        <v>1.2210418899184232</v>
      </c>
      <c r="W29" s="7">
        <f>1+($B29-1)*(W$1-$B$1)^[1]PUE!$E29</f>
        <v>1.2174760746005784</v>
      </c>
      <c r="X29" s="7">
        <f>1+($B29-1)*(X$1-$B$1)^[1]PUE!$E29</f>
        <v>1.2141297566510825</v>
      </c>
      <c r="Y29" s="7">
        <f>1+($B29-1)*(Y$1-$B$1)^[1]PUE!$E29</f>
        <v>1.2109803321501755</v>
      </c>
      <c r="Z29" s="7">
        <f>1+($B29-1)*(Z$1-$B$1)^[1]PUE!$E29</f>
        <v>1.2080083823051904</v>
      </c>
      <c r="AA29" s="7">
        <f>1+($B29-1)*(AA$1-$B$1)^[1]PUE!$E29</f>
        <v>1.2051971136012036</v>
      </c>
      <c r="AB29" s="7">
        <f>1+($B29-1)*(AB$1-$B$1)^[1]PUE!$E29</f>
        <v>1.2025319143537492</v>
      </c>
      <c r="AC29" s="7">
        <f>1+($B29-1)*(AC$1-$B$1)^[1]PUE!$E29</f>
        <v>1.2</v>
      </c>
      <c r="AD29" s="8" t="s">
        <v>2</v>
      </c>
    </row>
    <row r="30" spans="1:30" ht="15" x14ac:dyDescent="0.25">
      <c r="A30" s="6" t="s">
        <v>21</v>
      </c>
      <c r="B30" s="7">
        <v>1.6</v>
      </c>
      <c r="C30" s="7">
        <f>1+($B30-1)*(C$1-$B$1)^[1]PUE!$E30</f>
        <v>1.6</v>
      </c>
      <c r="D30" s="7">
        <f>1+($B30-1)*(D$1-$B$1)^[1]PUE!$E30</f>
        <v>1.4762203155904599</v>
      </c>
      <c r="E30" s="7">
        <f>1+($B30-1)*(E$1-$B$1)^[1]PUE!$E30</f>
        <v>1.4160167646103807</v>
      </c>
      <c r="F30" s="7">
        <f>1+($B30-1)*(F$1-$B$1)^[1]PUE!$E30</f>
        <v>1.3779763149684618</v>
      </c>
      <c r="G30" s="7">
        <f>1+($B30-1)*(G$1-$B$1)^[1]PUE!$E30</f>
        <v>1.3508821285855439</v>
      </c>
      <c r="H30" s="7">
        <f>1+($B30-1)*(H$1-$B$1)^[1]PUE!$E30</f>
        <v>1.3301927248894627</v>
      </c>
      <c r="I30" s="7">
        <f>1+($B30-1)*(I$1-$B$1)^[1]PUE!$E30</f>
        <v>1.3136547751448262</v>
      </c>
      <c r="J30" s="7">
        <f>1+($B30-1)*(J$1-$B$1)^[1]PUE!$E30</f>
        <v>1.3</v>
      </c>
      <c r="K30" s="7">
        <f>1+($B30-1)*(K$1-$B$1)^[1]PUE!$E30</f>
        <v>1.2884499140614816</v>
      </c>
      <c r="L30" s="7">
        <f>1+($B30-1)*(L$1-$B$1)^[1]PUE!$E30</f>
        <v>1.2784953300167667</v>
      </c>
      <c r="M30" s="7">
        <f>1+($B30-1)*(M$1-$B$1)^[1]PUE!$E30</f>
        <v>1.2697865878135655</v>
      </c>
      <c r="N30" s="7">
        <f>1+($B30-1)*(N$1-$B$1)^[1]PUE!$E30</f>
        <v>1.2620741394208896</v>
      </c>
      <c r="O30" s="7">
        <f>1+($B30-1)*(O$1-$B$1)^[1]PUE!$E30</f>
        <v>1.2551742221697941</v>
      </c>
      <c r="P30" s="7">
        <f>1+($B30-1)*(P$1-$B$1)^[1]PUE!$E30</f>
        <v>1.248947960009873</v>
      </c>
      <c r="Q30" s="7">
        <f>1+($B30-1)*(Q$1-$B$1)^[1]PUE!$E30</f>
        <v>1.243288079822936</v>
      </c>
      <c r="R30" s="7">
        <f>1+($B30-1)*(R$1-$B$1)^[1]PUE!$E30</f>
        <v>1.2381101577952298</v>
      </c>
      <c r="S30" s="7">
        <f>1+($B30-1)*(S$1-$B$1)^[1]PUE!$E30</f>
        <v>1.2333466712396921</v>
      </c>
      <c r="T30" s="7">
        <f>1+($B30-1)*(T$1-$B$1)^[1]PUE!$E30</f>
        <v>1.2289428485106664</v>
      </c>
      <c r="U30" s="7">
        <f>1+($B30-1)*(U$1-$B$1)^[1]PUE!$E30</f>
        <v>1.2248537060705893</v>
      </c>
      <c r="V30" s="7">
        <f>1+($B30-1)*(V$1-$B$1)^[1]PUE!$E30</f>
        <v>1.2210418899184232</v>
      </c>
      <c r="W30" s="7">
        <f>1+($B30-1)*(W$1-$B$1)^[1]PUE!$E30</f>
        <v>1.2174760746005784</v>
      </c>
      <c r="X30" s="7">
        <f>1+($B30-1)*(X$1-$B$1)^[1]PUE!$E30</f>
        <v>1.2141297566510825</v>
      </c>
      <c r="Y30" s="7">
        <f>1+($B30-1)*(Y$1-$B$1)^[1]PUE!$E30</f>
        <v>1.2109803321501755</v>
      </c>
      <c r="Z30" s="7">
        <f>1+($B30-1)*(Z$1-$B$1)^[1]PUE!$E30</f>
        <v>1.2080083823051904</v>
      </c>
      <c r="AA30" s="7">
        <f>1+($B30-1)*(AA$1-$B$1)^[1]PUE!$E30</f>
        <v>1.2051971136012036</v>
      </c>
      <c r="AB30" s="7">
        <f>1+($B30-1)*(AB$1-$B$1)^[1]PUE!$E30</f>
        <v>1.2025319143537492</v>
      </c>
      <c r="AC30" s="7">
        <f>1+($B30-1)*(AC$1-$B$1)^[1]PUE!$E30</f>
        <v>1.2</v>
      </c>
      <c r="AD30" s="8" t="s">
        <v>2</v>
      </c>
    </row>
    <row r="31" spans="1:30" ht="15" x14ac:dyDescent="0.25">
      <c r="A31" s="2" t="s">
        <v>29</v>
      </c>
      <c r="B31" s="7">
        <v>1.6019052924791088</v>
      </c>
      <c r="C31" s="7">
        <f>1+($B31-1)*(C$1-$B$1)^[1]PUE!$E31</f>
        <v>1.6019052924791088</v>
      </c>
      <c r="D31" s="7">
        <f>1+($B31-1)*(D$1-$B$1)^[1]PUE!$E31</f>
        <v>1.4774141116673776</v>
      </c>
      <c r="E31" s="7">
        <f>1+($B31-1)*(E$1-$B$1)^[1]PUE!$E31</f>
        <v>1.4168970031704573</v>
      </c>
      <c r="F31" s="7">
        <f>1+($B31-1)*(F$1-$B$1)^[1]PUE!$E31</f>
        <v>1.3786712575335303</v>
      </c>
      <c r="G31" s="7">
        <f>1+($B31-1)*(G$1-$B$1)^[1]PUE!$E31</f>
        <v>1.351451807236516</v>
      </c>
      <c r="H31" s="7">
        <f>1+($B31-1)*(H$1-$B$1)^[1]PUE!$E31</f>
        <v>1.3306708130205118</v>
      </c>
      <c r="I31" s="7">
        <f>1+($B31-1)*(I$1-$B$1)^[1]PUE!$E31</f>
        <v>1.3140623432273277</v>
      </c>
      <c r="J31" s="7">
        <f>1+($B31-1)*(J$1-$B$1)^[1]PUE!$E31</f>
        <v>1.3003512417788117</v>
      </c>
      <c r="K31" s="7">
        <f>1+($B31-1)*(K$1-$B$1)^[1]PUE!$E31</f>
        <v>1.2887549144760855</v>
      </c>
      <c r="L31" s="7">
        <f>1+($B31-1)*(L$1-$B$1)^[1]PUE!$E31</f>
        <v>1.2787615501014047</v>
      </c>
      <c r="M31" s="7">
        <f>1+($B31-1)*(M$1-$B$1)^[1]PUE!$E31</f>
        <v>1.2700197252857446</v>
      </c>
      <c r="N31" s="7">
        <f>1+($B31-1)*(N$1-$B$1)^[1]PUE!$E31</f>
        <v>1.2622786581628147</v>
      </c>
      <c r="O31" s="7">
        <f>1+($B31-1)*(O$1-$B$1)^[1]PUE!$E31</f>
        <v>1.2553536939118506</v>
      </c>
      <c r="P31" s="7">
        <f>1+($B31-1)*(P$1-$B$1)^[1]PUE!$E31</f>
        <v>1.2491052935960916</v>
      </c>
      <c r="Q31" s="7">
        <f>1+($B31-1)*(Q$1-$B$1)^[1]PUE!$E31</f>
        <v>1.2434256801302843</v>
      </c>
      <c r="R31" s="7">
        <f>1+($B31-1)*(R$1-$B$1)^[1]PUE!$E31</f>
        <v>1.238230038967471</v>
      </c>
      <c r="S31" s="7">
        <f>1+($B31-1)*(S$1-$B$1)^[1]PUE!$E31</f>
        <v>1.2334505392990904</v>
      </c>
      <c r="T31" s="7">
        <f>1+($B31-1)*(T$1-$B$1)^[1]PUE!$E31</f>
        <v>1.2290321628779743</v>
      </c>
      <c r="U31" s="7">
        <f>1+($B31-1)*(U$1-$B$1)^[1]PUE!$E31</f>
        <v>1.2249297262092911</v>
      </c>
      <c r="V31" s="7">
        <f>1+($B31-1)*(V$1-$B$1)^[1]PUE!$E31</f>
        <v>1.221105711266532</v>
      </c>
      <c r="W31" s="7">
        <f>1+($B31-1)*(W$1-$B$1)^[1]PUE!$E31</f>
        <v>1.2175286566444488</v>
      </c>
      <c r="X31" s="7">
        <f>1+($B31-1)*(X$1-$B$1)^[1]PUE!$E31</f>
        <v>1.2141719451394215</v>
      </c>
      <c r="Y31" s="7">
        <f>1+($B31-1)*(Y$1-$B$1)^[1]PUE!$E31</f>
        <v>1.2110128768732509</v>
      </c>
      <c r="Z31" s="7">
        <f>1+($B31-1)*(Z$1-$B$1)^[1]PUE!$E31</f>
        <v>1.2080319514725948</v>
      </c>
      <c r="AA31" s="7">
        <f>1+($B31-1)*(AA$1-$B$1)^[1]PUE!$E31</f>
        <v>1.205212305578955</v>
      </c>
      <c r="AB31" s="7">
        <f>1+($B31-1)*(AB$1-$B$1)^[1]PUE!$E31</f>
        <v>1.2025392673285737</v>
      </c>
      <c r="AC31" s="7">
        <f>1+($B31-1)*(AC$1-$B$1)^[1]PUE!$E31</f>
        <v>1.2</v>
      </c>
      <c r="AD31" s="8" t="s">
        <v>2</v>
      </c>
    </row>
    <row r="32" spans="1:30" ht="15" x14ac:dyDescent="0.25">
      <c r="A32" s="2" t="s">
        <v>33</v>
      </c>
      <c r="B32" s="7">
        <v>1.6</v>
      </c>
      <c r="C32" s="7">
        <f>1+($B32-1)*(C$1-$B$1)^[1]PUE!$E32</f>
        <v>1.6</v>
      </c>
      <c r="D32" s="7">
        <f>1+($B32-1)*(D$1-$B$1)^[1]PUE!$E32</f>
        <v>1.4762203155904599</v>
      </c>
      <c r="E32" s="7">
        <f>1+($B32-1)*(E$1-$B$1)^[1]PUE!$E32</f>
        <v>1.4160167646103807</v>
      </c>
      <c r="F32" s="7">
        <f>1+($B32-1)*(F$1-$B$1)^[1]PUE!$E32</f>
        <v>1.3779763149684618</v>
      </c>
      <c r="G32" s="7">
        <f>1+($B32-1)*(G$1-$B$1)^[1]PUE!$E32</f>
        <v>1.3508821285855439</v>
      </c>
      <c r="H32" s="7">
        <f>1+($B32-1)*(H$1-$B$1)^[1]PUE!$E32</f>
        <v>1.3301927248894627</v>
      </c>
      <c r="I32" s="7">
        <f>1+($B32-1)*(I$1-$B$1)^[1]PUE!$E32</f>
        <v>1.3136547751448262</v>
      </c>
      <c r="J32" s="7">
        <f>1+($B32-1)*(J$1-$B$1)^[1]PUE!$E32</f>
        <v>1.3</v>
      </c>
      <c r="K32" s="7">
        <f>1+($B32-1)*(K$1-$B$1)^[1]PUE!$E32</f>
        <v>1.2884499140614816</v>
      </c>
      <c r="L32" s="7">
        <f>1+($B32-1)*(L$1-$B$1)^[1]PUE!$E32</f>
        <v>1.2784953300167667</v>
      </c>
      <c r="M32" s="7">
        <f>1+($B32-1)*(M$1-$B$1)^[1]PUE!$E32</f>
        <v>1.2697865878135655</v>
      </c>
      <c r="N32" s="7">
        <f>1+($B32-1)*(N$1-$B$1)^[1]PUE!$E32</f>
        <v>1.2620741394208896</v>
      </c>
      <c r="O32" s="7">
        <f>1+($B32-1)*(O$1-$B$1)^[1]PUE!$E32</f>
        <v>1.2551742221697941</v>
      </c>
      <c r="P32" s="7">
        <f>1+($B32-1)*(P$1-$B$1)^[1]PUE!$E32</f>
        <v>1.248947960009873</v>
      </c>
      <c r="Q32" s="7">
        <f>1+($B32-1)*(Q$1-$B$1)^[1]PUE!$E32</f>
        <v>1.243288079822936</v>
      </c>
      <c r="R32" s="7">
        <f>1+($B32-1)*(R$1-$B$1)^[1]PUE!$E32</f>
        <v>1.2381101577952298</v>
      </c>
      <c r="S32" s="7">
        <f>1+($B32-1)*(S$1-$B$1)^[1]PUE!$E32</f>
        <v>1.2333466712396921</v>
      </c>
      <c r="T32" s="7">
        <f>1+($B32-1)*(T$1-$B$1)^[1]PUE!$E32</f>
        <v>1.2289428485106664</v>
      </c>
      <c r="U32" s="7">
        <f>1+($B32-1)*(U$1-$B$1)^[1]PUE!$E32</f>
        <v>1.2248537060705893</v>
      </c>
      <c r="V32" s="7">
        <f>1+($B32-1)*(V$1-$B$1)^[1]PUE!$E32</f>
        <v>1.2210418899184232</v>
      </c>
      <c r="W32" s="7">
        <f>1+($B32-1)*(W$1-$B$1)^[1]PUE!$E32</f>
        <v>1.2174760746005784</v>
      </c>
      <c r="X32" s="7">
        <f>1+($B32-1)*(X$1-$B$1)^[1]PUE!$E32</f>
        <v>1.2141297566510825</v>
      </c>
      <c r="Y32" s="7">
        <f>1+($B32-1)*(Y$1-$B$1)^[1]PUE!$E32</f>
        <v>1.2109803321501755</v>
      </c>
      <c r="Z32" s="7">
        <f>1+($B32-1)*(Z$1-$B$1)^[1]PUE!$E32</f>
        <v>1.2080083823051904</v>
      </c>
      <c r="AA32" s="7">
        <f>1+($B32-1)*(AA$1-$B$1)^[1]PUE!$E32</f>
        <v>1.2051971136012036</v>
      </c>
      <c r="AB32" s="7">
        <f>1+($B32-1)*(AB$1-$B$1)^[1]PUE!$E32</f>
        <v>1.2025319143537492</v>
      </c>
      <c r="AC32" s="7">
        <f>1+($B32-1)*(AC$1-$B$1)^[1]PUE!$E32</f>
        <v>1.2</v>
      </c>
      <c r="AD32" s="8" t="s">
        <v>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F0CB-C377-4460-A7E9-5B2BA6E839AF}">
  <dimension ref="A1:AD32"/>
  <sheetViews>
    <sheetView zoomScale="115" zoomScaleNormal="115" workbookViewId="0">
      <selection activeCell="A2" sqref="A2:A32"/>
    </sheetView>
  </sheetViews>
  <sheetFormatPr defaultRowHeight="13.5" x14ac:dyDescent="0.15"/>
  <sheetData>
    <row r="1" spans="1:30" ht="15" x14ac:dyDescent="0.25">
      <c r="A1" s="5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/>
    </row>
    <row r="2" spans="1:30" ht="15" x14ac:dyDescent="0.25">
      <c r="A2" s="2" t="s">
        <v>4</v>
      </c>
      <c r="B2" s="7">
        <v>1.6047089996101904</v>
      </c>
      <c r="C2" s="7">
        <f>1+($B2-1)*(C$1-$B$1)^[1]PUE!$G2</f>
        <v>1.6047089996101904</v>
      </c>
      <c r="D2" s="7">
        <f>1+($B2-1)*(D$1-$B$1)^[1]PUE!$G2</f>
        <v>1.4510380743446261</v>
      </c>
      <c r="E2" s="7">
        <f>1+($B2-1)*(E$1-$B$1)^[1]PUE!$G2</f>
        <v>1.3799513929781528</v>
      </c>
      <c r="F2" s="7">
        <f>1+($B2-1)*(F$1-$B$1)^[1]PUE!$G2</f>
        <v>1.3364185825573087</v>
      </c>
      <c r="G2" s="7">
        <f>1+($B2-1)*(G$1-$B$1)^[1]PUE!$G2</f>
        <v>1.3061172711835436</v>
      </c>
      <c r="H2" s="7">
        <f>1+($B2-1)*(H$1-$B$1)^[1]PUE!$G2</f>
        <v>1.2833967160136448</v>
      </c>
      <c r="I2" s="7">
        <f>1+($B2-1)*(I$1-$B$1)^[1]PUE!$G2</f>
        <v>1.2655075459027834</v>
      </c>
      <c r="J2" s="7">
        <f>1+($B2-1)*(J$1-$B$1)^[1]PUE!$G2</f>
        <v>1.2509266271019792</v>
      </c>
      <c r="K2" s="7">
        <f>1+($B2-1)*(K$1-$B$1)^[1]PUE!$G2</f>
        <v>1.2387314578071413</v>
      </c>
      <c r="L2" s="7">
        <f>1+($B2-1)*(L$1-$B$1)^[1]PUE!$G2</f>
        <v>1.2283255989364483</v>
      </c>
      <c r="M2" s="7">
        <f>1+($B2-1)*(M$1-$B$1)^[1]PUE!$G2</f>
        <v>1.2193036389375467</v>
      </c>
      <c r="N2" s="7">
        <f>1+($B2-1)*(N$1-$B$1)^[1]PUE!$G2</f>
        <v>1.2113788766973581</v>
      </c>
      <c r="O2" s="7">
        <f>1+($B2-1)*(O$1-$B$1)^[1]PUE!$G2</f>
        <v>1.204341933708647</v>
      </c>
      <c r="P2" s="7">
        <f>1+($B2-1)*(P$1-$B$1)^[1]PUE!$G2</f>
        <v>1.1980357697754704</v>
      </c>
      <c r="Q2" s="7">
        <f>1+($B2-1)*(Q$1-$B$1)^[1]PUE!$G2</f>
        <v>1.1923399249487512</v>
      </c>
      <c r="R2" s="7">
        <f>1+($B2-1)*(R$1-$B$1)^[1]PUE!$G2</f>
        <v>1.1871602088985374</v>
      </c>
      <c r="S2" s="7">
        <f>1+($B2-1)*(S$1-$B$1)^[1]PUE!$G2</f>
        <v>1.1824217406382467</v>
      </c>
      <c r="T2" s="7">
        <f>1+($B2-1)*(T$1-$B$1)^[1]PUE!$G2</f>
        <v>1.1780641218904124</v>
      </c>
      <c r="U2" s="7">
        <f>1+($B2-1)*(U$1-$B$1)^[1]PUE!$G2</f>
        <v>1.1740380107742361</v>
      </c>
      <c r="V2" s="7">
        <f>1+($B2-1)*(V$1-$B$1)^[1]PUE!$G2</f>
        <v>1.1703026390119291</v>
      </c>
      <c r="W2" s="7">
        <f>1+($B2-1)*(W$1-$B$1)^[1]PUE!$G2</f>
        <v>1.1668239797605178</v>
      </c>
      <c r="X2" s="7">
        <f>1+($B2-1)*(X$1-$B$1)^[1]PUE!$G2</f>
        <v>1.1635733734191531</v>
      </c>
      <c r="Y2" s="7">
        <f>1+($B2-1)*(Y$1-$B$1)^[1]PUE!$G2</f>
        <v>1.160526481787336</v>
      </c>
      <c r="Z2" s="7">
        <f>1+($B2-1)*(Z$1-$B$1)^[1]PUE!$G2</f>
        <v>1.1576624815641323</v>
      </c>
      <c r="AA2" s="7">
        <f>1+($B2-1)*(AA$1-$B$1)^[1]PUE!$G2</f>
        <v>1.1549634349369127</v>
      </c>
      <c r="AB2" s="7">
        <f>1+($B2-1)*(AB$1-$B$1)^[1]PUE!$G2</f>
        <v>1.1524137929933533</v>
      </c>
      <c r="AC2" s="7">
        <f>1+($B2-1)*(AC$1-$B$1)^[1]PUE!$G2</f>
        <v>1.1499999999999999</v>
      </c>
      <c r="AD2" s="8" t="s">
        <v>1</v>
      </c>
    </row>
    <row r="3" spans="1:30" ht="15" x14ac:dyDescent="0.25">
      <c r="A3" s="2" t="s">
        <v>28</v>
      </c>
      <c r="B3" s="7">
        <v>1.6072891297319769</v>
      </c>
      <c r="C3" s="7">
        <f>1+($B3-1)*(C$1-$B$1)^[1]PUE!$G3</f>
        <v>1.6072891297319769</v>
      </c>
      <c r="D3" s="7">
        <f>1+($B3-1)*(D$1-$B$1)^[1]PUE!$G3</f>
        <v>1.4525571188636082</v>
      </c>
      <c r="E3" s="7">
        <f>1+($B3-1)*(E$1-$B$1)^[1]PUE!$G3</f>
        <v>1.3810313925851117</v>
      </c>
      <c r="F3" s="7">
        <f>1+($B3-1)*(F$1-$B$1)^[1]PUE!$G3</f>
        <v>1.3372494843181544</v>
      </c>
      <c r="G3" s="7">
        <f>1+($B3-1)*(G$1-$B$1)^[1]PUE!$G3</f>
        <v>1.3067848859137356</v>
      </c>
      <c r="H3" s="7">
        <f>1+($B3-1)*(H$1-$B$1)^[1]PUE!$G3</f>
        <v>1.2839478936515976</v>
      </c>
      <c r="I3" s="7">
        <f>1+($B3-1)*(I$1-$B$1)^[1]PUE!$G3</f>
        <v>1.2659709612338215</v>
      </c>
      <c r="J3" s="7">
        <f>1+($B3-1)*(J$1-$B$1)^[1]PUE!$G3</f>
        <v>1.2513212364407402</v>
      </c>
      <c r="K3" s="7">
        <f>1+($B3-1)*(K$1-$B$1)^[1]PUE!$G3</f>
        <v>1.239070510284658</v>
      </c>
      <c r="L3" s="7">
        <f>1+($B3-1)*(L$1-$B$1)^[1]PUE!$G3</f>
        <v>1.2286187538731281</v>
      </c>
      <c r="M3" s="7">
        <f>1+($B3-1)*(M$1-$B$1)^[1]PUE!$G3</f>
        <v>1.2195581756571938</v>
      </c>
      <c r="N3" s="7">
        <f>1+($B3-1)*(N$1-$B$1)^[1]PUE!$G3</f>
        <v>1.2116004294611218</v>
      </c>
      <c r="O3" s="7">
        <f>1+($B3-1)*(O$1-$B$1)^[1]PUE!$G3</f>
        <v>1.2045349605413609</v>
      </c>
      <c r="P3" s="7">
        <f>1+($B3-1)*(P$1-$B$1)^[1]PUE!$G3</f>
        <v>1.1982038637353609</v>
      </c>
      <c r="Q3" s="7">
        <f>1+($B3-1)*(Q$1-$B$1)^[1]PUE!$G3</f>
        <v>1.1924860277926694</v>
      </c>
      <c r="R3" s="7">
        <f>1+($B3-1)*(R$1-$B$1)^[1]PUE!$G3</f>
        <v>1.1872867619465843</v>
      </c>
      <c r="S3" s="7">
        <f>1+($B3-1)*(S$1-$B$1)^[1]PUE!$G3</f>
        <v>1.1825307939075909</v>
      </c>
      <c r="T3" s="7">
        <f>1+($B3-1)*(T$1-$B$1)^[1]PUE!$G3</f>
        <v>1.1781574147184681</v>
      </c>
      <c r="U3" s="7">
        <f>1+($B3-1)*(U$1-$B$1)^[1]PUE!$G3</f>
        <v>1.1741170324866832</v>
      </c>
      <c r="V3" s="7">
        <f>1+($B3-1)*(V$1-$B$1)^[1]PUE!$G3</f>
        <v>1.1703686753238511</v>
      </c>
      <c r="W3" s="7">
        <f>1+($B3-1)*(W$1-$B$1)^[1]PUE!$G3</f>
        <v>1.166878148783679</v>
      </c>
      <c r="X3" s="7">
        <f>1+($B3-1)*(X$1-$B$1)^[1]PUE!$G3</f>
        <v>1.1636166539687984</v>
      </c>
      <c r="Y3" s="7">
        <f>1+($B3-1)*(Y$1-$B$1)^[1]PUE!$G3</f>
        <v>1.1605597358972655</v>
      </c>
      <c r="Z3" s="7">
        <f>1+($B3-1)*(Z$1-$B$1)^[1]PUE!$G3</f>
        <v>1.157686472585951</v>
      </c>
      <c r="AA3" s="7">
        <f>1+($B3-1)*(AA$1-$B$1)^[1]PUE!$G3</f>
        <v>1.1549788422306222</v>
      </c>
      <c r="AB3" s="7">
        <f>1+($B3-1)*(AB$1-$B$1)^[1]PUE!$G3</f>
        <v>1.1524212239569191</v>
      </c>
      <c r="AC3" s="7">
        <f>1+($B3-1)*(AC$1-$B$1)^[1]PUE!$G3</f>
        <v>1.1499999999999999</v>
      </c>
      <c r="AD3" s="8" t="s">
        <v>1</v>
      </c>
    </row>
    <row r="4" spans="1:30" ht="15" x14ac:dyDescent="0.25">
      <c r="A4" s="2" t="s">
        <v>12</v>
      </c>
      <c r="B4" s="7">
        <v>1.6027058899512794</v>
      </c>
      <c r="C4" s="7">
        <f>1+($B4-1)*(C$1-$B$1)^[1]PUE!$G4</f>
        <v>1.6027058899512794</v>
      </c>
      <c r="D4" s="7">
        <f>1+($B4-1)*(D$1-$B$1)^[1]PUE!$G4</f>
        <v>1.4498578090581364</v>
      </c>
      <c r="E4" s="7">
        <f>1+($B4-1)*(E$1-$B$1)^[1]PUE!$G4</f>
        <v>1.3791118650842664</v>
      </c>
      <c r="F4" s="7">
        <f>1+($B4-1)*(F$1-$B$1)^[1]PUE!$G4</f>
        <v>1.335772475007579</v>
      </c>
      <c r="G4" s="7">
        <f>1+($B4-1)*(G$1-$B$1)^[1]PUE!$G4</f>
        <v>1.3055980021397349</v>
      </c>
      <c r="H4" s="7">
        <f>1+($B4-1)*(H$1-$B$1)^[1]PUE!$G4</f>
        <v>1.2829679215986065</v>
      </c>
      <c r="I4" s="7">
        <f>1+($B4-1)*(I$1-$B$1)^[1]PUE!$G4</f>
        <v>1.2651469632131445</v>
      </c>
      <c r="J4" s="7">
        <f>1+($B4-1)*(J$1-$B$1)^[1]PUE!$G4</f>
        <v>1.2506195351121385</v>
      </c>
      <c r="K4" s="7">
        <f>1+($B4-1)*(K$1-$B$1)^[1]PUE!$G4</f>
        <v>1.2384675654311084</v>
      </c>
      <c r="L4" s="7">
        <f>1+($B4-1)*(L$1-$B$1)^[1]PUE!$G4</f>
        <v>1.2280974020450304</v>
      </c>
      <c r="M4" s="7">
        <f>1+($B4-1)*(M$1-$B$1)^[1]PUE!$G4</f>
        <v>1.2191054814310625</v>
      </c>
      <c r="N4" s="7">
        <f>1+($B4-1)*(N$1-$B$1)^[1]PUE!$G4</f>
        <v>1.2112063800378219</v>
      </c>
      <c r="O4" s="7">
        <f>1+($B4-1)*(O$1-$B$1)^[1]PUE!$G4</f>
        <v>1.2041916329562621</v>
      </c>
      <c r="P4" s="7">
        <f>1+($B4-1)*(P$1-$B$1)^[1]PUE!$G4</f>
        <v>1.1979048719087935</v>
      </c>
      <c r="Q4" s="7">
        <f>1+($B4-1)*(Q$1-$B$1)^[1]PUE!$G4</f>
        <v>1.1922261429477419</v>
      </c>
      <c r="R4" s="7">
        <f>1+($B4-1)*(R$1-$B$1)^[1]PUE!$G4</f>
        <v>1.1870616445806248</v>
      </c>
      <c r="S4" s="7">
        <f>1+($B4-1)*(S$1-$B$1)^[1]PUE!$G4</f>
        <v>1.1823367998941552</v>
      </c>
      <c r="T4" s="7">
        <f>1+($B4-1)*(T$1-$B$1)^[1]PUE!$G4</f>
        <v>1.1779914520578818</v>
      </c>
      <c r="U4" s="7">
        <f>1+($B4-1)*(U$1-$B$1)^[1]PUE!$G4</f>
        <v>1.173976453507982</v>
      </c>
      <c r="V4" s="7">
        <f>1+($B4-1)*(V$1-$B$1)^[1]PUE!$G4</f>
        <v>1.1702511942336002</v>
      </c>
      <c r="W4" s="7">
        <f>1+($B4-1)*(W$1-$B$1)^[1]PUE!$G4</f>
        <v>1.1667817776814662</v>
      </c>
      <c r="X4" s="7">
        <f>1+($B4-1)*(X$1-$B$1)^[1]PUE!$G4</f>
        <v>1.1635396525445831</v>
      </c>
      <c r="Y4" s="7">
        <f>1+($B4-1)*(Y$1-$B$1)^[1]PUE!$G4</f>
        <v>1.1605005714195531</v>
      </c>
      <c r="Z4" s="7">
        <f>1+($B4-1)*(Z$1-$B$1)^[1]PUE!$G4</f>
        <v>1.1576437877363288</v>
      </c>
      <c r="AA4" s="7">
        <f>1+($B4-1)*(AA$1-$B$1)^[1]PUE!$G4</f>
        <v>1.1549514289952381</v>
      </c>
      <c r="AB4" s="7">
        <f>1+($B4-1)*(AB$1-$B$1)^[1]PUE!$G4</f>
        <v>1.1524080022465562</v>
      </c>
      <c r="AC4" s="7">
        <f>1+($B4-1)*(AC$1-$B$1)^[1]PUE!$G4</f>
        <v>1.1499999999999999</v>
      </c>
      <c r="AD4" s="8" t="s">
        <v>1</v>
      </c>
    </row>
    <row r="5" spans="1:30" ht="15" x14ac:dyDescent="0.25">
      <c r="A5" s="2" t="s">
        <v>26</v>
      </c>
      <c r="B5" s="7">
        <v>1.6234287658657944</v>
      </c>
      <c r="C5" s="7">
        <f>1+($B5-1)*(C$1-$B$1)^[1]PUE!$G5</f>
        <v>1.6234287658657944</v>
      </c>
      <c r="D5" s="7">
        <f>1+($B5-1)*(D$1-$B$1)^[1]PUE!$G5</f>
        <v>1.462028771793173</v>
      </c>
      <c r="E5" s="7">
        <f>1+($B5-1)*(E$1-$B$1)^[1]PUE!$G5</f>
        <v>1.3877528315532859</v>
      </c>
      <c r="F5" s="7">
        <f>1+($B5-1)*(F$1-$B$1)^[1]PUE!$G5</f>
        <v>1.3424137570364563</v>
      </c>
      <c r="G5" s="7">
        <f>1+($B5-1)*(G$1-$B$1)^[1]PUE!$G5</f>
        <v>1.3109299980673466</v>
      </c>
      <c r="H5" s="7">
        <f>1+($B5-1)*(H$1-$B$1)^[1]PUE!$G5</f>
        <v>1.2873671770231661</v>
      </c>
      <c r="I5" s="7">
        <f>1+($B5-1)*(I$1-$B$1)^[1]PUE!$G5</f>
        <v>1.2688437505409729</v>
      </c>
      <c r="J5" s="7">
        <f>1+($B5-1)*(J$1-$B$1)^[1]PUE!$G5</f>
        <v>1.2537659733890059</v>
      </c>
      <c r="K5" s="7">
        <f>1+($B5-1)*(K$1-$B$1)^[1]PUE!$G5</f>
        <v>1.2411699084317793</v>
      </c>
      <c r="L5" s="7">
        <f>1+($B5-1)*(L$1-$B$1)^[1]PUE!$G5</f>
        <v>1.2304330710842355</v>
      </c>
      <c r="M5" s="7">
        <f>1+($B5-1)*(M$1-$B$1)^[1]PUE!$G5</f>
        <v>1.2211327921815534</v>
      </c>
      <c r="N5" s="7">
        <f>1+($B5-1)*(N$1-$B$1)^[1]PUE!$G5</f>
        <v>1.2129704484670292</v>
      </c>
      <c r="O5" s="7">
        <f>1+($B5-1)*(O$1-$B$1)^[1]PUE!$G5</f>
        <v>1.2057281411554475</v>
      </c>
      <c r="P5" s="7">
        <f>1+($B5-1)*(P$1-$B$1)^[1]PUE!$G5</f>
        <v>1.1992425673432197</v>
      </c>
      <c r="Q5" s="7">
        <f>1+($B5-1)*(Q$1-$B$1)^[1]PUE!$G5</f>
        <v>1.1933885533787274</v>
      </c>
      <c r="R5" s="7">
        <f>1+($B5-1)*(R$1-$B$1)^[1]PUE!$G5</f>
        <v>1.1880682885156781</v>
      </c>
      <c r="S5" s="7">
        <f>1+($B5-1)*(S$1-$B$1)^[1]PUE!$G5</f>
        <v>1.1832040619284248</v>
      </c>
      <c r="T5" s="7">
        <f>1+($B5-1)*(T$1-$B$1)^[1]PUE!$G5</f>
        <v>1.1787332293392987</v>
      </c>
      <c r="U5" s="7">
        <f>1+($B5-1)*(U$1-$B$1)^[1]PUE!$G5</f>
        <v>1.1746046420542438</v>
      </c>
      <c r="V5" s="7">
        <f>1+($B5-1)*(V$1-$B$1)^[1]PUE!$G5</f>
        <v>1.170776060783338</v>
      </c>
      <c r="W5" s="7">
        <f>1+($B5-1)*(W$1-$B$1)^[1]PUE!$G5</f>
        <v>1.1672122481754528</v>
      </c>
      <c r="X5" s="7">
        <f>1+($B5-1)*(X$1-$B$1)^[1]PUE!$G5</f>
        <v>1.1638835388561974</v>
      </c>
      <c r="Y5" s="7">
        <f>1+($B5-1)*(Y$1-$B$1)^[1]PUE!$G5</f>
        <v>1.1607647516520179</v>
      </c>
      <c r="Z5" s="7">
        <f>1+($B5-1)*(Z$1-$B$1)^[1]PUE!$G5</f>
        <v>1.1578343511256024</v>
      </c>
      <c r="AA5" s="7">
        <f>1+($B5-1)*(AA$1-$B$1)^[1]PUE!$G5</f>
        <v>1.1550737934973181</v>
      </c>
      <c r="AB5" s="7">
        <f>1+($B5-1)*(AB$1-$B$1)^[1]PUE!$G5</f>
        <v>1.1524670108048976</v>
      </c>
      <c r="AC5" s="7">
        <f>1+($B5-1)*(AC$1-$B$1)^[1]PUE!$G5</f>
        <v>1.1499999999999999</v>
      </c>
      <c r="AD5" s="8" t="s">
        <v>1</v>
      </c>
    </row>
    <row r="6" spans="1:30" ht="15" x14ac:dyDescent="0.25">
      <c r="A6" s="2" t="s">
        <v>32</v>
      </c>
      <c r="B6" s="7">
        <v>1.6000000000000003</v>
      </c>
      <c r="C6" s="7">
        <f>1+($B6-1)*(C$1-$B$1)^[1]PUE!$G6</f>
        <v>1.6000000000000003</v>
      </c>
      <c r="D6" s="7">
        <f>1+($B6-1)*(D$1-$B$1)^[1]PUE!$G6</f>
        <v>1.4482621430408933</v>
      </c>
      <c r="E6" s="7">
        <f>1+($B6-1)*(E$1-$B$1)^[1]PUE!$G6</f>
        <v>1.3779763149684621</v>
      </c>
      <c r="F6" s="7">
        <f>1+($B6-1)*(F$1-$B$1)^[1]PUE!$G6</f>
        <v>1.334898248139357</v>
      </c>
      <c r="G6" s="7">
        <f>1+($B6-1)*(G$1-$B$1)^[1]PUE!$G6</f>
        <v>1.3048952103334979</v>
      </c>
      <c r="H6" s="7">
        <f>1+($B6-1)*(H$1-$B$1)^[1]PUE!$G6</f>
        <v>1.2823874549441041</v>
      </c>
      <c r="I6" s="7">
        <f>1+($B6-1)*(I$1-$B$1)^[1]PUE!$G6</f>
        <v>1.2646587467480943</v>
      </c>
      <c r="J6" s="7">
        <f>1+($B6-1)*(J$1-$B$1)^[1]PUE!$G6</f>
        <v>1.2502036773526484</v>
      </c>
      <c r="K6" s="7">
        <f>1+($B6-1)*(K$1-$B$1)^[1]PUE!$G6</f>
        <v>1.2381101577952298</v>
      </c>
      <c r="L6" s="7">
        <f>1+($B6-1)*(L$1-$B$1)^[1]PUE!$G6</f>
        <v>1.2277883006449961</v>
      </c>
      <c r="M6" s="7">
        <f>1+($B6-1)*(M$1-$B$1)^[1]PUE!$G6</f>
        <v>1.2188370391839745</v>
      </c>
      <c r="N6" s="7">
        <f>1+($B6-1)*(N$1-$B$1)^[1]PUE!$G6</f>
        <v>1.2109726762018462</v>
      </c>
      <c r="O6" s="7">
        <f>1+($B6-1)*(O$1-$B$1)^[1]PUE!$G6</f>
        <v>1.2039879814943175</v>
      </c>
      <c r="P6" s="7">
        <f>1+($B6-1)*(P$1-$B$1)^[1]PUE!$G6</f>
        <v>1.1977274949863628</v>
      </c>
      <c r="Q6" s="7">
        <f>1+($B6-1)*(Q$1-$B$1)^[1]PUE!$G6</f>
        <v>1.1920719467556493</v>
      </c>
      <c r="R6" s="7">
        <f>1+($B6-1)*(R$1-$B$1)^[1]PUE!$G6</f>
        <v>1.1869280610113506</v>
      </c>
      <c r="S6" s="7">
        <f>1+($B6-1)*(S$1-$B$1)^[1]PUE!$G6</f>
        <v>1.1822216719873124</v>
      </c>
      <c r="T6" s="7">
        <f>1+($B6-1)*(T$1-$B$1)^[1]PUE!$G6</f>
        <v>1.1778929493551584</v>
      </c>
      <c r="U6" s="7">
        <f>1+($B6-1)*(U$1-$B$1)^[1]PUE!$G6</f>
        <v>1.1738930083463905</v>
      </c>
      <c r="V6" s="7">
        <f>1+($B6-1)*(V$1-$B$1)^[1]PUE!$G6</f>
        <v>1.170181453011282</v>
      </c>
      <c r="W6" s="7">
        <f>1+($B6-1)*(W$1-$B$1)^[1]PUE!$G6</f>
        <v>1.16672456303336</v>
      </c>
      <c r="X6" s="7">
        <f>1+($B6-1)*(X$1-$B$1)^[1]PUE!$G6</f>
        <v>1.1634939336022205</v>
      </c>
      <c r="Y6" s="7">
        <f>1+($B6-1)*(Y$1-$B$1)^[1]PUE!$G6</f>
        <v>1.1604654401520917</v>
      </c>
      <c r="Z6" s="7">
        <f>1+($B6-1)*(Z$1-$B$1)^[1]PUE!$G6</f>
        <v>1.1576184399288534</v>
      </c>
      <c r="AA6" s="7">
        <f>1+($B6-1)*(AA$1-$B$1)^[1]PUE!$G6</f>
        <v>1.1549351488071797</v>
      </c>
      <c r="AB6" s="7">
        <f>1+($B6-1)*(AB$1-$B$1)^[1]PUE!$G6</f>
        <v>1.1524001495653813</v>
      </c>
      <c r="AC6" s="7">
        <f>1+($B6-1)*(AC$1-$B$1)^[1]PUE!$G6</f>
        <v>1.1499999999999999</v>
      </c>
      <c r="AD6" s="8" t="s">
        <v>1</v>
      </c>
    </row>
    <row r="7" spans="1:30" ht="15" x14ac:dyDescent="0.25">
      <c r="A7" s="2" t="s">
        <v>20</v>
      </c>
      <c r="B7" s="7">
        <v>1.6160720611742341</v>
      </c>
      <c r="C7" s="7">
        <f>1+($B7-1)*(C$1-$B$1)^[1]PUE!$G7</f>
        <v>1.6160720611742341</v>
      </c>
      <c r="D7" s="7">
        <f>1+($B7-1)*(D$1-$B$1)^[1]PUE!$G7</f>
        <v>1.4577179175522015</v>
      </c>
      <c r="E7" s="7">
        <f>1+($B7-1)*(E$1-$B$1)^[1]PUE!$G7</f>
        <v>1.3846963765349631</v>
      </c>
      <c r="F7" s="7">
        <f>1+($B7-1)*(F$1-$B$1)^[1]PUE!$G7</f>
        <v>1.3400668610892787</v>
      </c>
      <c r="G7" s="7">
        <f>1+($B7-1)*(G$1-$B$1)^[1]PUE!$G7</f>
        <v>1.3090471703635704</v>
      </c>
      <c r="H7" s="7">
        <f>1+($B7-1)*(H$1-$B$1)^[1]PUE!$G7</f>
        <v>1.2858146561976007</v>
      </c>
      <c r="I7" s="7">
        <f>1+($B7-1)*(I$1-$B$1)^[1]PUE!$G7</f>
        <v>1.2675398013065688</v>
      </c>
      <c r="J7" s="7">
        <f>1+($B7-1)*(J$1-$B$1)^[1]PUE!$G7</f>
        <v>1.2526566375849288</v>
      </c>
      <c r="K7" s="7">
        <f>1+($B7-1)*(K$1-$B$1)^[1]PUE!$G7</f>
        <v>1.2402175190951825</v>
      </c>
      <c r="L7" s="7">
        <f>1+($B7-1)*(L$1-$B$1)^[1]PUE!$G7</f>
        <v>1.229610196856838</v>
      </c>
      <c r="M7" s="7">
        <f>1+($B7-1)*(M$1-$B$1)^[1]PUE!$G7</f>
        <v>1.2204187809533025</v>
      </c>
      <c r="N7" s="7">
        <f>1+($B7-1)*(N$1-$B$1)^[1]PUE!$G7</f>
        <v>1.2123493297055483</v>
      </c>
      <c r="O7" s="7">
        <f>1+($B7-1)*(O$1-$B$1)^[1]PUE!$G7</f>
        <v>1.2051872889151629</v>
      </c>
      <c r="P7" s="7">
        <f>1+($B7-1)*(P$1-$B$1)^[1]PUE!$G7</f>
        <v>1.198771813289127</v>
      </c>
      <c r="Q7" s="7">
        <f>1+($B7-1)*(Q$1-$B$1)^[1]PUE!$G7</f>
        <v>1.1929795783802397</v>
      </c>
      <c r="R7" s="7">
        <f>1+($B7-1)*(R$1-$B$1)^[1]PUE!$G7</f>
        <v>1.1877141933537685</v>
      </c>
      <c r="S7" s="7">
        <f>1+($B7-1)*(S$1-$B$1)^[1]PUE!$G7</f>
        <v>1.1828990569462436</v>
      </c>
      <c r="T7" s="7">
        <f>1+($B7-1)*(T$1-$B$1)^[1]PUE!$G7</f>
        <v>1.1784724053063449</v>
      </c>
      <c r="U7" s="7">
        <f>1+($B7-1)*(U$1-$B$1)^[1]PUE!$G7</f>
        <v>1.1743837978411888</v>
      </c>
      <c r="V7" s="7">
        <f>1+($B7-1)*(V$1-$B$1)^[1]PUE!$G7</f>
        <v>1.1705915716316506</v>
      </c>
      <c r="W7" s="7">
        <f>1+($B7-1)*(W$1-$B$1)^[1]PUE!$G7</f>
        <v>1.1670609635264944</v>
      </c>
      <c r="X7" s="7">
        <f>1+($B7-1)*(X$1-$B$1)^[1]PUE!$G7</f>
        <v>1.1637627020693728</v>
      </c>
      <c r="Y7" s="7">
        <f>1+($B7-1)*(Y$1-$B$1)^[1]PUE!$G7</f>
        <v>1.1606719361786115</v>
      </c>
      <c r="Z7" s="7">
        <f>1+($B7-1)*(Z$1-$B$1)^[1]PUE!$G7</f>
        <v>1.157767409223482</v>
      </c>
      <c r="AA7" s="7">
        <f>1+($B7-1)*(AA$1-$B$1)^[1]PUE!$G7</f>
        <v>1.1550308146220545</v>
      </c>
      <c r="AB7" s="7">
        <f>1+($B7-1)*(AB$1-$B$1)^[1]PUE!$G7</f>
        <v>1.1524462875518533</v>
      </c>
      <c r="AC7" s="7">
        <f>1+($B7-1)*(AC$1-$B$1)^[1]PUE!$G7</f>
        <v>1.1499999999999999</v>
      </c>
      <c r="AD7" s="8" t="s">
        <v>1</v>
      </c>
    </row>
    <row r="8" spans="1:30" ht="15" x14ac:dyDescent="0.25">
      <c r="A8" s="2" t="s">
        <v>19</v>
      </c>
      <c r="B8" s="7">
        <v>1.607209942130728</v>
      </c>
      <c r="C8" s="7">
        <f>1+($B8-1)*(C$1-$B$1)^[1]PUE!$G8</f>
        <v>1.607209942130728</v>
      </c>
      <c r="D8" s="7">
        <f>1+($B8-1)*(D$1-$B$1)^[1]PUE!$G8</f>
        <v>1.4525105175971147</v>
      </c>
      <c r="E8" s="7">
        <f>1+($B8-1)*(E$1-$B$1)^[1]PUE!$G8</f>
        <v>1.3809982687497202</v>
      </c>
      <c r="F8" s="7">
        <f>1+($B8-1)*(F$1-$B$1)^[1]PUE!$G8</f>
        <v>1.3372240049586079</v>
      </c>
      <c r="G8" s="7">
        <f>1+($B8-1)*(G$1-$B$1)^[1]PUE!$G8</f>
        <v>1.3067644165622161</v>
      </c>
      <c r="H8" s="7">
        <f>1+($B8-1)*(H$1-$B$1)^[1]PUE!$G8</f>
        <v>1.2839309962392262</v>
      </c>
      <c r="I8" s="7">
        <f>1+($B8-1)*(I$1-$B$1)^[1]PUE!$G8</f>
        <v>1.2659567557147757</v>
      </c>
      <c r="J8" s="7">
        <f>1+($B8-1)*(J$1-$B$1)^[1]PUE!$G8</f>
        <v>1.2513091411094492</v>
      </c>
      <c r="K8" s="7">
        <f>1+($B8-1)*(K$1-$B$1)^[1]PUE!$G8</f>
        <v>1.2390601186155021</v>
      </c>
      <c r="L8" s="7">
        <f>1+($B8-1)*(L$1-$B$1)^[1]PUE!$G8</f>
        <v>1.2286097695170144</v>
      </c>
      <c r="M8" s="7">
        <f>1+($B8-1)*(M$1-$B$1)^[1]PUE!$G8</f>
        <v>1.2195503753038361</v>
      </c>
      <c r="N8" s="7">
        <f>1+($B8-1)*(N$1-$B$1)^[1]PUE!$G8</f>
        <v>1.2115936402807046</v>
      </c>
      <c r="O8" s="7">
        <f>1+($B8-1)*(O$1-$B$1)^[1]PUE!$G8</f>
        <v>1.204529045795343</v>
      </c>
      <c r="P8" s="7">
        <f>1+($B8-1)*(P$1-$B$1)^[1]PUE!$G8</f>
        <v>1.1981987132236918</v>
      </c>
      <c r="Q8" s="7">
        <f>1+($B8-1)*(Q$1-$B$1)^[1]PUE!$G8</f>
        <v>1.1924815512968983</v>
      </c>
      <c r="R8" s="7">
        <f>1+($B8-1)*(R$1-$B$1)^[1]PUE!$G8</f>
        <v>1.1872828846004635</v>
      </c>
      <c r="S8" s="7">
        <f>1+($B8-1)*(S$1-$B$1)^[1]PUE!$G8</f>
        <v>1.1825274528484147</v>
      </c>
      <c r="T8" s="7">
        <f>1+($B8-1)*(T$1-$B$1)^[1]PUE!$G8</f>
        <v>1.1781545566133678</v>
      </c>
      <c r="U8" s="7">
        <f>1+($B8-1)*(U$1-$B$1)^[1]PUE!$G8</f>
        <v>1.1741146116712891</v>
      </c>
      <c r="V8" s="7">
        <f>1+($B8-1)*(V$1-$B$1)^[1]PUE!$G8</f>
        <v>1.170366652378741</v>
      </c>
      <c r="W8" s="7">
        <f>1+($B8-1)*(W$1-$B$1)^[1]PUE!$G8</f>
        <v>1.166876489429757</v>
      </c>
      <c r="X8" s="7">
        <f>1+($B8-1)*(X$1-$B$1)^[1]PUE!$G8</f>
        <v>1.1636153281989421</v>
      </c>
      <c r="Y8" s="7">
        <f>1+($B8-1)*(Y$1-$B$1)^[1]PUE!$G8</f>
        <v>1.1605587172856742</v>
      </c>
      <c r="Z8" s="7">
        <f>1+($B8-1)*(Z$1-$B$1)^[1]PUE!$G8</f>
        <v>1.1576857377329723</v>
      </c>
      <c r="AA8" s="7">
        <f>1+($B8-1)*(AA$1-$B$1)^[1]PUE!$G8</f>
        <v>1.1549783703121528</v>
      </c>
      <c r="AB8" s="7">
        <f>1+($B8-1)*(AB$1-$B$1)^[1]PUE!$G8</f>
        <v>1.1524209963554402</v>
      </c>
      <c r="AC8" s="7">
        <f>1+($B8-1)*(AC$1-$B$1)^[1]PUE!$G8</f>
        <v>1.1499999999999999</v>
      </c>
      <c r="AD8" s="8" t="s">
        <v>1</v>
      </c>
    </row>
    <row r="9" spans="1:30" ht="15" x14ac:dyDescent="0.25">
      <c r="A9" s="2" t="s">
        <v>13</v>
      </c>
      <c r="B9" s="7">
        <v>1.611419267825295</v>
      </c>
      <c r="C9" s="7">
        <f>1+($B9-1)*(C$1-$B$1)^[1]PUE!$G9</f>
        <v>1.611419267825295</v>
      </c>
      <c r="D9" s="7">
        <f>1+($B9-1)*(D$1-$B$1)^[1]PUE!$G9</f>
        <v>1.4549859051462766</v>
      </c>
      <c r="E9" s="7">
        <f>1+($B9-1)*(E$1-$B$1)^[1]PUE!$G9</f>
        <v>1.3827570218613394</v>
      </c>
      <c r="F9" s="7">
        <f>1+($B9-1)*(F$1-$B$1)^[1]PUE!$G9</f>
        <v>1.3385764642617177</v>
      </c>
      <c r="G9" s="7">
        <f>1+($B9-1)*(G$1-$B$1)^[1]PUE!$G9</f>
        <v>1.3078506922774029</v>
      </c>
      <c r="H9" s="7">
        <f>1+($B9-1)*(H$1-$B$1)^[1]PUE!$G9</f>
        <v>1.2848275466720089</v>
      </c>
      <c r="I9" s="7">
        <f>1+($B9-1)*(I$1-$B$1)^[1]PUE!$G9</f>
        <v>1.2667103589514455</v>
      </c>
      <c r="J9" s="7">
        <f>1+($B9-1)*(J$1-$B$1)^[1]PUE!$G9</f>
        <v>1.2519507106821512</v>
      </c>
      <c r="K9" s="7">
        <f>1+($B9-1)*(K$1-$B$1)^[1]PUE!$G9</f>
        <v>1.2396112544919393</v>
      </c>
      <c r="L9" s="7">
        <f>1+($B9-1)*(L$1-$B$1)^[1]PUE!$G9</f>
        <v>1.2290862150516404</v>
      </c>
      <c r="M9" s="7">
        <f>1+($B9-1)*(M$1-$B$1)^[1]PUE!$G9</f>
        <v>1.2199639919448928</v>
      </c>
      <c r="N9" s="7">
        <f>1+($B9-1)*(N$1-$B$1)^[1]PUE!$G9</f>
        <v>1.2119536068827106</v>
      </c>
      <c r="O9" s="7">
        <f>1+($B9-1)*(O$1-$B$1)^[1]PUE!$G9</f>
        <v>1.2048426235203626</v>
      </c>
      <c r="P9" s="7">
        <f>1+($B9-1)*(P$1-$B$1)^[1]PUE!$G9</f>
        <v>1.1984717532880984</v>
      </c>
      <c r="Q9" s="7">
        <f>1+($B9-1)*(Q$1-$B$1)^[1]PUE!$G9</f>
        <v>1.1927188434429898</v>
      </c>
      <c r="R9" s="7">
        <f>1+($B9-1)*(R$1-$B$1)^[1]PUE!$G9</f>
        <v>1.1874884031046293</v>
      </c>
      <c r="S9" s="7">
        <f>1+($B9-1)*(S$1-$B$1)^[1]PUE!$G9</f>
        <v>1.1827045344533609</v>
      </c>
      <c r="T9" s="7">
        <f>1+($B9-1)*(T$1-$B$1)^[1]PUE!$G9</f>
        <v>1.1783060319574372</v>
      </c>
      <c r="U9" s="7">
        <f>1+($B9-1)*(U$1-$B$1)^[1]PUE!$G9</f>
        <v>1.1742429041739919</v>
      </c>
      <c r="V9" s="7">
        <f>1+($B9-1)*(V$1-$B$1)^[1]PUE!$G9</f>
        <v>1.1704738538622368</v>
      </c>
      <c r="W9" s="7">
        <f>1+($B9-1)*(W$1-$B$1)^[1]PUE!$G9</f>
        <v>1.1669644187938704</v>
      </c>
      <c r="X9" s="7">
        <f>1+($B9-1)*(X$1-$B$1)^[1]PUE!$G9</f>
        <v>1.1636855775425645</v>
      </c>
      <c r="Y9" s="7">
        <f>1+($B9-1)*(Y$1-$B$1)^[1]PUE!$G9</f>
        <v>1.1606126885873409</v>
      </c>
      <c r="Z9" s="7">
        <f>1+($B9-1)*(Z$1-$B$1)^[1]PUE!$G9</f>
        <v>1.157724672334179</v>
      </c>
      <c r="AA9" s="7">
        <f>1+($B9-1)*(AA$1-$B$1)^[1]PUE!$G9</f>
        <v>1.1550033728455482</v>
      </c>
      <c r="AB9" s="7">
        <f>1+($B9-1)*(AB$1-$B$1)^[1]PUE!$G9</f>
        <v>1.1524330543367518</v>
      </c>
      <c r="AC9" s="7">
        <f>1+($B9-1)*(AC$1-$B$1)^[1]PUE!$G9</f>
        <v>1.1499999999999999</v>
      </c>
      <c r="AD9" s="8" t="s">
        <v>1</v>
      </c>
    </row>
    <row r="10" spans="1:30" ht="15" x14ac:dyDescent="0.25">
      <c r="A10" s="2" t="s">
        <v>25</v>
      </c>
      <c r="B10" s="7">
        <v>1.6038127334201866</v>
      </c>
      <c r="C10" s="7">
        <f>1+($B10-1)*(C$1-$B$1)^[1]PUE!$G10</f>
        <v>1.6038127334201866</v>
      </c>
      <c r="D10" s="7">
        <f>1+($B10-1)*(D$1-$B$1)^[1]PUE!$G10</f>
        <v>1.4505100813117253</v>
      </c>
      <c r="E10" s="7">
        <f>1+($B10-1)*(E$1-$B$1)^[1]PUE!$G10</f>
        <v>1.3795758715686333</v>
      </c>
      <c r="F10" s="7">
        <f>1+($B10-1)*(F$1-$B$1)^[1]PUE!$G10</f>
        <v>1.3361296013316437</v>
      </c>
      <c r="G10" s="7">
        <f>1+($B10-1)*(G$1-$B$1)^[1]PUE!$G10</f>
        <v>1.3058850347876314</v>
      </c>
      <c r="H10" s="7">
        <f>1+($B10-1)*(H$1-$B$1)^[1]PUE!$G10</f>
        <v>1.2832049529590743</v>
      </c>
      <c r="I10" s="7">
        <f>1+($B10-1)*(I$1-$B$1)^[1]PUE!$G10</f>
        <v>1.2653462950334524</v>
      </c>
      <c r="J10" s="7">
        <f>1+($B10-1)*(J$1-$B$1)^[1]PUE!$G10</f>
        <v>1.2507893021226142</v>
      </c>
      <c r="K10" s="7">
        <f>1+($B10-1)*(K$1-$B$1)^[1]PUE!$G10</f>
        <v>1.2386134546401248</v>
      </c>
      <c r="L10" s="7">
        <f>1+($B10-1)*(L$1-$B$1)^[1]PUE!$G10</f>
        <v>1.2282235604963951</v>
      </c>
      <c r="M10" s="7">
        <f>1+($B10-1)*(M$1-$B$1)^[1]PUE!$G10</f>
        <v>1.2192150349848945</v>
      </c>
      <c r="N10" s="7">
        <f>1+($B10-1)*(N$1-$B$1)^[1]PUE!$G10</f>
        <v>1.2113017485782132</v>
      </c>
      <c r="O10" s="7">
        <f>1+($B10-1)*(O$1-$B$1)^[1]PUE!$G10</f>
        <v>1.2042747315022682</v>
      </c>
      <c r="P10" s="7">
        <f>1+($B10-1)*(P$1-$B$1)^[1]PUE!$G10</f>
        <v>1.1979772441600669</v>
      </c>
      <c r="Q10" s="7">
        <f>1+($B10-1)*(Q$1-$B$1)^[1]PUE!$G10</f>
        <v>1.1922890529678836</v>
      </c>
      <c r="R10" s="7">
        <f>1+($B10-1)*(R$1-$B$1)^[1]PUE!$G10</f>
        <v>1.1871161415417619</v>
      </c>
      <c r="S10" s="7">
        <f>1+($B10-1)*(S$1-$B$1)^[1]PUE!$G10</f>
        <v>1.1823837649184512</v>
      </c>
      <c r="T10" s="7">
        <f>1+($B10-1)*(T$1-$B$1)^[1]PUE!$G10</f>
        <v>1.1780316328261131</v>
      </c>
      <c r="U10" s="7">
        <f>1+($B10-1)*(U$1-$B$1)^[1]PUE!$G10</f>
        <v>1.1740104903050563</v>
      </c>
      <c r="V10" s="7">
        <f>1+($B10-1)*(V$1-$B$1)^[1]PUE!$G10</f>
        <v>1.1702796398712798</v>
      </c>
      <c r="W10" s="7">
        <f>1+($B10-1)*(W$1-$B$1)^[1]PUE!$G10</f>
        <v>1.166805112959983</v>
      </c>
      <c r="X10" s="7">
        <f>1+($B10-1)*(X$1-$B$1)^[1]PUE!$G10</f>
        <v>1.1635582984088422</v>
      </c>
      <c r="Y10" s="7">
        <f>1+($B10-1)*(Y$1-$B$1)^[1]PUE!$G10</f>
        <v>1.1605148986290157</v>
      </c>
      <c r="Z10" s="7">
        <f>1+($B10-1)*(Z$1-$B$1)^[1]PUE!$G10</f>
        <v>1.1576541246390648</v>
      </c>
      <c r="AA10" s="7">
        <f>1+($B10-1)*(AA$1-$B$1)^[1]PUE!$G10</f>
        <v>1.1549580678384255</v>
      </c>
      <c r="AB10" s="7">
        <f>1+($B10-1)*(AB$1-$B$1)^[1]PUE!$G10</f>
        <v>1.1524112043443386</v>
      </c>
      <c r="AC10" s="7">
        <f>1+($B10-1)*(AC$1-$B$1)^[1]PUE!$G10</f>
        <v>1.1499999999999999</v>
      </c>
      <c r="AD10" s="8" t="s">
        <v>1</v>
      </c>
    </row>
    <row r="11" spans="1:30" ht="15" x14ac:dyDescent="0.25">
      <c r="A11" s="2" t="s">
        <v>17</v>
      </c>
      <c r="B11" s="7">
        <v>1.5868208545410898</v>
      </c>
      <c r="C11" s="7">
        <f>1+($B11-1)*(C$1-$B$1)^[1]PUE!$G11</f>
        <v>1.5868208545410898</v>
      </c>
      <c r="D11" s="7">
        <f>1+($B11-1)*(D$1-$B$1)^[1]PUE!$G11</f>
        <v>1.4404685866474691</v>
      </c>
      <c r="E11" s="7">
        <f>1+($B11-1)*(E$1-$B$1)^[1]PUE!$G11</f>
        <v>1.3724209577763629</v>
      </c>
      <c r="F11" s="7">
        <f>1+($B11-1)*(F$1-$B$1)^[1]PUE!$G11</f>
        <v>1.3306163615724635</v>
      </c>
      <c r="G11" s="7">
        <f>1+($B11-1)*(G$1-$B$1)^[1]PUE!$G11</f>
        <v>1.3014498888760186</v>
      </c>
      <c r="H11" s="7">
        <f>1+($B11-1)*(H$1-$B$1)^[1]PUE!$G11</f>
        <v>1.2795397124015555</v>
      </c>
      <c r="I11" s="7">
        <f>1+($B11-1)*(I$1-$B$1)^[1]PUE!$G11</f>
        <v>1.262262084729443</v>
      </c>
      <c r="J11" s="7">
        <f>1+($B11-1)*(J$1-$B$1)^[1]PUE!$G11</f>
        <v>1.2481611217076383</v>
      </c>
      <c r="K11" s="7">
        <f>1+($B11-1)*(K$1-$B$1)^[1]PUE!$G11</f>
        <v>1.2363538526583697</v>
      </c>
      <c r="L11" s="7">
        <f>1+($B11-1)*(L$1-$B$1)^[1]PUE!$G11</f>
        <v>1.2262687248940625</v>
      </c>
      <c r="M11" s="7">
        <f>1+($B11-1)*(M$1-$B$1)^[1]PUE!$G11</f>
        <v>1.2175168388724444</v>
      </c>
      <c r="N11" s="7">
        <f>1+($B11-1)*(N$1-$B$1)^[1]PUE!$G11</f>
        <v>1.2098229145752548</v>
      </c>
      <c r="O11" s="7">
        <f>1+($B11-1)*(O$1-$B$1)^[1]PUE!$G11</f>
        <v>1.2029857448873071</v>
      </c>
      <c r="P11" s="7">
        <f>1+($B11-1)*(P$1-$B$1)^[1]PUE!$G11</f>
        <v>1.1968543021231497</v>
      </c>
      <c r="Q11" s="7">
        <f>1+($B11-1)*(Q$1-$B$1)^[1]PUE!$G11</f>
        <v>1.1913126560994161</v>
      </c>
      <c r="R11" s="7">
        <f>1+($B11-1)*(R$1-$B$1)^[1]PUE!$G11</f>
        <v>1.1862700987763894</v>
      </c>
      <c r="S11" s="7">
        <f>1+($B11-1)*(S$1-$B$1)^[1]PUE!$G11</f>
        <v>1.1816544733596097</v>
      </c>
      <c r="T11" s="7">
        <f>1+($B11-1)*(T$1-$B$1)^[1]PUE!$G11</f>
        <v>1.1774075454604123</v>
      </c>
      <c r="U11" s="7">
        <f>1+($B11-1)*(U$1-$B$1)^[1]PUE!$G11</f>
        <v>1.1734817152839918</v>
      </c>
      <c r="V11" s="7">
        <f>1+($B11-1)*(V$1-$B$1)^[1]PUE!$G11</f>
        <v>1.1698376338968952</v>
      </c>
      <c r="W11" s="7">
        <f>1+($B11-1)*(W$1-$B$1)^[1]PUE!$G11</f>
        <v>1.1664424432559524</v>
      </c>
      <c r="X11" s="7">
        <f>1+($B11-1)*(X$1-$B$1)^[1]PUE!$G11</f>
        <v>1.1632684555239545</v>
      </c>
      <c r="Y11" s="7">
        <f>1+($B11-1)*(Y$1-$B$1)^[1]PUE!$G11</f>
        <v>1.1602921474870858</v>
      </c>
      <c r="Z11" s="7">
        <f>1+($B11-1)*(Z$1-$B$1)^[1]PUE!$G11</f>
        <v>1.1574933847596307</v>
      </c>
      <c r="AA11" s="7">
        <f>1+($B11-1)*(AA$1-$B$1)^[1]PUE!$G11</f>
        <v>1.1548548160825478</v>
      </c>
      <c r="AB11" s="7">
        <f>1+($B11-1)*(AB$1-$B$1)^[1]PUE!$G11</f>
        <v>1.1523613952507126</v>
      </c>
      <c r="AC11" s="7">
        <f>1+($B11-1)*(AC$1-$B$1)^[1]PUE!$G11</f>
        <v>1.1499999999999999</v>
      </c>
      <c r="AD11" s="8" t="s">
        <v>1</v>
      </c>
    </row>
    <row r="12" spans="1:30" ht="15" x14ac:dyDescent="0.25">
      <c r="A12" s="2" t="s">
        <v>31</v>
      </c>
      <c r="B12" s="7">
        <v>1.5250126564126461</v>
      </c>
      <c r="C12" s="7">
        <f>1+($B12-1)*(C$1-$B$1)^[1]PUE!$G12</f>
        <v>1.5250126564126461</v>
      </c>
      <c r="D12" s="7">
        <f>1+($B12-1)*(D$1-$B$1)^[1]PUE!$G12</f>
        <v>1.403408147656791</v>
      </c>
      <c r="E12" s="7">
        <f>1+($B12-1)*(E$1-$B$1)^[1]PUE!$G12</f>
        <v>1.3457882791757874</v>
      </c>
      <c r="F12" s="7">
        <f>1+($B12-1)*(F$1-$B$1)^[1]PUE!$G12</f>
        <v>1.3099699247402055</v>
      </c>
      <c r="G12" s="7">
        <f>1+($B12-1)*(G$1-$B$1)^[1]PUE!$G12</f>
        <v>1.2847625681308679</v>
      </c>
      <c r="H12" s="7">
        <f>1+($B12-1)*(H$1-$B$1)^[1]PUE!$G12</f>
        <v>1.2656960884274289</v>
      </c>
      <c r="I12" s="7">
        <f>1+($B12-1)*(I$1-$B$1)^[1]PUE!$G12</f>
        <v>1.2505750836703347</v>
      </c>
      <c r="J12" s="7">
        <f>1+($B12-1)*(J$1-$B$1)^[1]PUE!$G12</f>
        <v>1.2381740547421769</v>
      </c>
      <c r="K12" s="7">
        <f>1+($B12-1)*(K$1-$B$1)^[1]PUE!$G12</f>
        <v>1.2277460029865905</v>
      </c>
      <c r="L12" s="7">
        <f>1+($B12-1)*(L$1-$B$1)^[1]PUE!$G12</f>
        <v>1.2188052777938654</v>
      </c>
      <c r="M12" s="7">
        <f>1+($B12-1)*(M$1-$B$1)^[1]PUE!$G12</f>
        <v>1.2110201550920152</v>
      </c>
      <c r="N12" s="7">
        <f>1+($B12-1)*(N$1-$B$1)^[1]PUE!$G12</f>
        <v>1.2041550152419949</v>
      </c>
      <c r="O12" s="7">
        <f>1+($B12-1)*(O$1-$B$1)^[1]PUE!$G12</f>
        <v>1.1980371009846174</v>
      </c>
      <c r="P12" s="7">
        <f>1+($B12-1)*(P$1-$B$1)^[1]PUE!$G12</f>
        <v>1.1925363686336463</v>
      </c>
      <c r="Q12" s="7">
        <f>1+($B12-1)*(Q$1-$B$1)^[1]PUE!$G12</f>
        <v>1.1875527326911866</v>
      </c>
      <c r="R12" s="7">
        <f>1+($B12-1)*(R$1-$B$1)^[1]PUE!$G12</f>
        <v>1.1830076914715963</v>
      </c>
      <c r="S12" s="7">
        <f>1+($B12-1)*(S$1-$B$1)^[1]PUE!$G12</f>
        <v>1.1788386561081476</v>
      </c>
      <c r="T12" s="7">
        <f>1+($B12-1)*(T$1-$B$1)^[1]PUE!$G12</f>
        <v>1.1749950064610395</v>
      </c>
      <c r="U12" s="7">
        <f>1+($B12-1)*(U$1-$B$1)^[1]PUE!$G12</f>
        <v>1.1714352836361028</v>
      </c>
      <c r="V12" s="7">
        <f>1+($B12-1)*(V$1-$B$1)^[1]PUE!$G12</f>
        <v>1.1681251503829968</v>
      </c>
      <c r="W12" s="7">
        <f>1+($B12-1)*(W$1-$B$1)^[1]PUE!$G12</f>
        <v>1.1650358823323157</v>
      </c>
      <c r="X12" s="7">
        <f>1+($B12-1)*(X$1-$B$1)^[1]PUE!$G12</f>
        <v>1.1621432337757032</v>
      </c>
      <c r="Y12" s="7">
        <f>1+($B12-1)*(Y$1-$B$1)^[1]PUE!$G12</f>
        <v>1.1594265725812631</v>
      </c>
      <c r="Z12" s="7">
        <f>1+($B12-1)*(Z$1-$B$1)^[1]PUE!$G12</f>
        <v>1.1568682117043785</v>
      </c>
      <c r="AA12" s="7">
        <f>1+($B12-1)*(AA$1-$B$1)^[1]PUE!$G12</f>
        <v>1.1544528864552797</v>
      </c>
      <c r="AB12" s="7">
        <f>1+($B12-1)*(AB$1-$B$1)^[1]PUE!$G12</f>
        <v>1.1521673413006908</v>
      </c>
      <c r="AC12" s="7">
        <f>1+($B12-1)*(AC$1-$B$1)^[1]PUE!$G12</f>
        <v>1.1499999999999999</v>
      </c>
      <c r="AD12" s="8" t="s">
        <v>1</v>
      </c>
    </row>
    <row r="13" spans="1:30" ht="15" x14ac:dyDescent="0.25">
      <c r="A13" s="2" t="s">
        <v>0</v>
      </c>
      <c r="B13" s="7">
        <v>1.6032882160663773</v>
      </c>
      <c r="C13" s="7">
        <f>1+($B13-1)*(C$1-$B$1)^[1]PUE!$G13</f>
        <v>1.6032882160663773</v>
      </c>
      <c r="D13" s="7">
        <f>1+($B13-1)*(D$1-$B$1)^[1]PUE!$G13</f>
        <v>1.4502010101570293</v>
      </c>
      <c r="E13" s="7">
        <f>1+($B13-1)*(E$1-$B$1)^[1]PUE!$G13</f>
        <v>1.3793560208803446</v>
      </c>
      <c r="F13" s="7">
        <f>1+($B13-1)*(F$1-$B$1)^[1]PUE!$G13</f>
        <v>1.3359603986100557</v>
      </c>
      <c r="G13" s="7">
        <f>1+($B13-1)*(G$1-$B$1)^[1]PUE!$G13</f>
        <v>1.3057490461622736</v>
      </c>
      <c r="H13" s="7">
        <f>1+($B13-1)*(H$1-$B$1)^[1]PUE!$G13</f>
        <v>1.2830926566460421</v>
      </c>
      <c r="I13" s="7">
        <f>1+($B13-1)*(I$1-$B$1)^[1]PUE!$G13</f>
        <v>1.2652518614402548</v>
      </c>
      <c r="J13" s="7">
        <f>1+($B13-1)*(J$1-$B$1)^[1]PUE!$G13</f>
        <v>1.2507088764524517</v>
      </c>
      <c r="K13" s="7">
        <f>1+($B13-1)*(K$1-$B$1)^[1]PUE!$G13</f>
        <v>1.2385443420667355</v>
      </c>
      <c r="L13" s="7">
        <f>1+($B13-1)*(L$1-$B$1)^[1]PUE!$G13</f>
        <v>1.2281637959619269</v>
      </c>
      <c r="M13" s="7">
        <f>1+($B13-1)*(M$1-$B$1)^[1]PUE!$G13</f>
        <v>1.2191631373461647</v>
      </c>
      <c r="N13" s="7">
        <f>1+($B13-1)*(N$1-$B$1)^[1]PUE!$G13</f>
        <v>1.2112565712307277</v>
      </c>
      <c r="O13" s="7">
        <f>1+($B13-1)*(O$1-$B$1)^[1]PUE!$G13</f>
        <v>1.2042353670760773</v>
      </c>
      <c r="P13" s="7">
        <f>1+($B13-1)*(P$1-$B$1)^[1]PUE!$G13</f>
        <v>1.1979429612351256</v>
      </c>
      <c r="Q13" s="7">
        <f>1+($B13-1)*(Q$1-$B$1)^[1]PUE!$G13</f>
        <v>1.1922592526278009</v>
      </c>
      <c r="R13" s="7">
        <f>1+($B13-1)*(R$1-$B$1)^[1]PUE!$G13</f>
        <v>1.18709032669355</v>
      </c>
      <c r="S13" s="7">
        <f>1+($B13-1)*(S$1-$B$1)^[1]PUE!$G13</f>
        <v>1.1823615180962321</v>
      </c>
      <c r="T13" s="7">
        <f>1+($B13-1)*(T$1-$B$1)^[1]PUE!$G13</f>
        <v>1.1780125997917259</v>
      </c>
      <c r="U13" s="7">
        <f>1+($B13-1)*(U$1-$B$1)^[1]PUE!$G13</f>
        <v>1.1739943677064493</v>
      </c>
      <c r="V13" s="7">
        <f>1+($B13-1)*(V$1-$B$1)^[1]PUE!$G13</f>
        <v>1.1702661658022837</v>
      </c>
      <c r="W13" s="7">
        <f>1+($B13-1)*(W$1-$B$1)^[1]PUE!$G13</f>
        <v>1.1667940596340245</v>
      </c>
      <c r="X13" s="7">
        <f>1+($B13-1)*(X$1-$B$1)^[1]PUE!$G13</f>
        <v>1.1635494663989445</v>
      </c>
      <c r="Y13" s="7">
        <f>1+($B13-1)*(Y$1-$B$1)^[1]PUE!$G13</f>
        <v>1.160508112285944</v>
      </c>
      <c r="Z13" s="7">
        <f>1+($B13-1)*(Z$1-$B$1)^[1]PUE!$G13</f>
        <v>1.1576492284078024</v>
      </c>
      <c r="AA13" s="7">
        <f>1+($B13-1)*(AA$1-$B$1)^[1]PUE!$G13</f>
        <v>1.1549549232681426</v>
      </c>
      <c r="AB13" s="7">
        <f>1+($B13-1)*(AB$1-$B$1)^[1]PUE!$G13</f>
        <v>1.1524096876397882</v>
      </c>
      <c r="AC13" s="7">
        <f>1+($B13-1)*(AC$1-$B$1)^[1]PUE!$G13</f>
        <v>1.1499999999999999</v>
      </c>
      <c r="AD13" s="8" t="s">
        <v>1</v>
      </c>
    </row>
    <row r="14" spans="1:30" ht="15" x14ac:dyDescent="0.25">
      <c r="A14" s="2" t="s">
        <v>6</v>
      </c>
      <c r="B14" s="7">
        <v>1.6025618865583442</v>
      </c>
      <c r="C14" s="7">
        <f>1+($B14-1)*(C$1-$B$1)^[1]PUE!$G14</f>
        <v>1.6025618865583442</v>
      </c>
      <c r="D14" s="7">
        <f>1+($B14-1)*(D$1-$B$1)^[1]PUE!$G14</f>
        <v>1.4497729281242848</v>
      </c>
      <c r="E14" s="7">
        <f>1+($B14-1)*(E$1-$B$1)^[1]PUE!$G14</f>
        <v>1.3790514756859455</v>
      </c>
      <c r="F14" s="7">
        <f>1+($B14-1)*(F$1-$B$1)^[1]PUE!$G14</f>
        <v>1.3357259916138178</v>
      </c>
      <c r="G14" s="7">
        <f>1+($B14-1)*(G$1-$B$1)^[1]PUE!$G14</f>
        <v>1.3055606394826076</v>
      </c>
      <c r="H14" s="7">
        <f>1+($B14-1)*(H$1-$B$1)^[1]PUE!$G14</f>
        <v>1.2829370657723986</v>
      </c>
      <c r="I14" s="7">
        <f>1+($B14-1)*(I$1-$B$1)^[1]PUE!$G14</f>
        <v>1.2651210137087887</v>
      </c>
      <c r="J14" s="7">
        <f>1+($B14-1)*(J$1-$B$1)^[1]PUE!$G14</f>
        <v>1.2505974334985672</v>
      </c>
      <c r="K14" s="7">
        <f>1+($B14-1)*(K$1-$B$1)^[1]PUE!$G14</f>
        <v>1.2384485717149334</v>
      </c>
      <c r="L14" s="7">
        <f>1+($B14-1)*(L$1-$B$1)^[1]PUE!$G14</f>
        <v>1.22808097658582</v>
      </c>
      <c r="M14" s="7">
        <f>1+($B14-1)*(M$1-$B$1)^[1]PUE!$G14</f>
        <v>1.2190912174529362</v>
      </c>
      <c r="N14" s="7">
        <f>1+($B14-1)*(N$1-$B$1)^[1]PUE!$G14</f>
        <v>1.2111939626221666</v>
      </c>
      <c r="O14" s="7">
        <f>1+($B14-1)*(O$1-$B$1)^[1]PUE!$G14</f>
        <v>1.20418081287694</v>
      </c>
      <c r="P14" s="7">
        <f>1+($B14-1)*(P$1-$B$1)^[1]PUE!$G14</f>
        <v>1.1978954482570554</v>
      </c>
      <c r="Q14" s="7">
        <f>1+($B14-1)*(Q$1-$B$1)^[1]PUE!$G14</f>
        <v>1.1922179512032725</v>
      </c>
      <c r="R14" s="7">
        <f>1+($B14-1)*(R$1-$B$1)^[1]PUE!$G14</f>
        <v>1.1870545481873385</v>
      </c>
      <c r="S14" s="7">
        <f>1+($B14-1)*(S$1-$B$1)^[1]PUE!$G14</f>
        <v>1.1823306841652601</v>
      </c>
      <c r="T14" s="7">
        <f>1+($B14-1)*(T$1-$B$1)^[1]PUE!$G14</f>
        <v>1.1779862196725492</v>
      </c>
      <c r="U14" s="7">
        <f>1+($B14-1)*(U$1-$B$1)^[1]PUE!$G14</f>
        <v>1.173972021122166</v>
      </c>
      <c r="V14" s="7">
        <f>1+($B14-1)*(V$1-$B$1)^[1]PUE!$G14</f>
        <v>1.1702474898875268</v>
      </c>
      <c r="W14" s="7">
        <f>1+($B14-1)*(W$1-$B$1)^[1]PUE!$G14</f>
        <v>1.1667787387875879</v>
      </c>
      <c r="X14" s="7">
        <f>1+($B14-1)*(X$1-$B$1)^[1]PUE!$G14</f>
        <v>1.1635372243056399</v>
      </c>
      <c r="Y14" s="7">
        <f>1+($B14-1)*(Y$1-$B$1)^[1]PUE!$G14</f>
        <v>1.1604987055701612</v>
      </c>
      <c r="Z14" s="7">
        <f>1+($B14-1)*(Z$1-$B$1)^[1]PUE!$G14</f>
        <v>1.1576424415312649</v>
      </c>
      <c r="AA14" s="7">
        <f>1+($B14-1)*(AA$1-$B$1)^[1]PUE!$G14</f>
        <v>1.154950564388177</v>
      </c>
      <c r="AB14" s="7">
        <f>1+($B14-1)*(AB$1-$B$1)^[1]PUE!$G14</f>
        <v>1.1524075852174993</v>
      </c>
      <c r="AC14" s="7">
        <f>1+($B14-1)*(AC$1-$B$1)^[1]PUE!$G14</f>
        <v>1.1499999999999999</v>
      </c>
      <c r="AD14" s="8" t="s">
        <v>1</v>
      </c>
    </row>
    <row r="15" spans="1:30" ht="15" x14ac:dyDescent="0.25">
      <c r="A15" s="2" t="s">
        <v>18</v>
      </c>
      <c r="B15" s="7">
        <v>1.6054537987054969</v>
      </c>
      <c r="C15" s="7">
        <f>1+($B15-1)*(C$1-$B$1)^[1]PUE!$G15</f>
        <v>1.6054537987054969</v>
      </c>
      <c r="D15" s="7">
        <f>1+($B15-1)*(D$1-$B$1)^[1]PUE!$G15</f>
        <v>1.4514767124658827</v>
      </c>
      <c r="E15" s="7">
        <f>1+($B15-1)*(E$1-$B$1)^[1]PUE!$G15</f>
        <v>1.3802633109361988</v>
      </c>
      <c r="F15" s="7">
        <f>1+($B15-1)*(F$1-$B$1)^[1]PUE!$G15</f>
        <v>1.3366585895320287</v>
      </c>
      <c r="G15" s="7">
        <f>1+($B15-1)*(G$1-$B$1)^[1]PUE!$G15</f>
        <v>1.3063101322725876</v>
      </c>
      <c r="H15" s="7">
        <f>1+($B15-1)*(H$1-$B$1)^[1]PUE!$G15</f>
        <v>1.2835559539967061</v>
      </c>
      <c r="I15" s="7">
        <f>1+($B15-1)*(I$1-$B$1)^[1]PUE!$G15</f>
        <v>1.2656414383960199</v>
      </c>
      <c r="J15" s="7">
        <f>1+($B15-1)*(J$1-$B$1)^[1]PUE!$G15</f>
        <v>1.2510406467847657</v>
      </c>
      <c r="K15" s="7">
        <f>1+($B15-1)*(K$1-$B$1)^[1]PUE!$G15</f>
        <v>1.2388294300131997</v>
      </c>
      <c r="L15" s="7">
        <f>1+($B15-1)*(L$1-$B$1)^[1]PUE!$G15</f>
        <v>1.2284103127424344</v>
      </c>
      <c r="M15" s="7">
        <f>1+($B15-1)*(M$1-$B$1)^[1]PUE!$G15</f>
        <v>1.2193771963487774</v>
      </c>
      <c r="N15" s="7">
        <f>1+($B15-1)*(N$1-$B$1)^[1]PUE!$G15</f>
        <v>1.2114429047836077</v>
      </c>
      <c r="O15" s="7">
        <f>1+($B15-1)*(O$1-$B$1)^[1]PUE!$G15</f>
        <v>1.2043977199368763</v>
      </c>
      <c r="P15" s="7">
        <f>1+($B15-1)*(P$1-$B$1)^[1]PUE!$G15</f>
        <v>1.1980843518665902</v>
      </c>
      <c r="Q15" s="7">
        <f>1+($B15-1)*(Q$1-$B$1)^[1]PUE!$G15</f>
        <v>1.1923821525611344</v>
      </c>
      <c r="R15" s="7">
        <f>1+($B15-1)*(R$1-$B$1)^[1]PUE!$G15</f>
        <v>1.1871967871834674</v>
      </c>
      <c r="S15" s="7">
        <f>1+($B15-1)*(S$1-$B$1)^[1]PUE!$G15</f>
        <v>1.1824532617488006</v>
      </c>
      <c r="T15" s="7">
        <f>1+($B15-1)*(T$1-$B$1)^[1]PUE!$G15</f>
        <v>1.1780910882597473</v>
      </c>
      <c r="U15" s="7">
        <f>1+($B15-1)*(U$1-$B$1)^[1]PUE!$G15</f>
        <v>1.1740608526329011</v>
      </c>
      <c r="V15" s="7">
        <f>1+($B15-1)*(V$1-$B$1)^[1]PUE!$G15</f>
        <v>1.1703217277862332</v>
      </c>
      <c r="W15" s="7">
        <f>1+($B15-1)*(W$1-$B$1)^[1]PUE!$G15</f>
        <v>1.166839638470019</v>
      </c>
      <c r="X15" s="7">
        <f>1+($B15-1)*(X$1-$B$1)^[1]PUE!$G15</f>
        <v>1.1635858848508192</v>
      </c>
      <c r="Y15" s="7">
        <f>1+($B15-1)*(Y$1-$B$1)^[1]PUE!$G15</f>
        <v>1.1605360949974304</v>
      </c>
      <c r="Z15" s="7">
        <f>1+($B15-1)*(Z$1-$B$1)^[1]PUE!$G15</f>
        <v>1.1576694171050597</v>
      </c>
      <c r="AA15" s="7">
        <f>1+($B15-1)*(AA$1-$B$1)^[1]PUE!$G15</f>
        <v>1.1549678890998067</v>
      </c>
      <c r="AB15" s="7">
        <f>1+($B15-1)*(AB$1-$B$1)^[1]PUE!$G15</f>
        <v>1.1524159412822681</v>
      </c>
      <c r="AC15" s="7">
        <f>1+($B15-1)*(AC$1-$B$1)^[1]PUE!$G15</f>
        <v>1.1499999999999999</v>
      </c>
      <c r="AD15" s="8" t="s">
        <v>1</v>
      </c>
    </row>
    <row r="16" spans="1:30" ht="15" x14ac:dyDescent="0.25">
      <c r="A16" s="2" t="s">
        <v>24</v>
      </c>
      <c r="B16" s="7">
        <v>1.6063859147119139</v>
      </c>
      <c r="C16" s="7">
        <f>1+($B16-1)*(C$1-$B$1)^[1]PUE!$G16</f>
        <v>1.6063859147119139</v>
      </c>
      <c r="D16" s="7">
        <f>1+($B16-1)*(D$1-$B$1)^[1]PUE!$G16</f>
        <v>1.4520255081980087</v>
      </c>
      <c r="E16" s="7">
        <f>1+($B16-1)*(E$1-$B$1)^[1]PUE!$G16</f>
        <v>1.3806534960986114</v>
      </c>
      <c r="F16" s="7">
        <f>1+($B16-1)*(F$1-$B$1)^[1]PUE!$G16</f>
        <v>1.3369587833496119</v>
      </c>
      <c r="G16" s="7">
        <f>1+($B16-1)*(G$1-$B$1)^[1]PUE!$G16</f>
        <v>1.3065513347596174</v>
      </c>
      <c r="H16" s="7">
        <f>1+($B16-1)*(H$1-$B$1)^[1]PUE!$G16</f>
        <v>1.2837550903587025</v>
      </c>
      <c r="I16" s="7">
        <f>1+($B16-1)*(I$1-$B$1)^[1]PUE!$G16</f>
        <v>1.2658088679049575</v>
      </c>
      <c r="J16" s="7">
        <f>1+($B16-1)*(J$1-$B$1)^[1]PUE!$G16</f>
        <v>1.2511832177991031</v>
      </c>
      <c r="K16" s="7">
        <f>1+($B16-1)*(K$1-$B$1)^[1]PUE!$G16</f>
        <v>1.2389519290878224</v>
      </c>
      <c r="L16" s="7">
        <f>1+($B16-1)*(L$1-$B$1)^[1]PUE!$G16</f>
        <v>1.228516229552143</v>
      </c>
      <c r="M16" s="7">
        <f>1+($B16-1)*(M$1-$B$1)^[1]PUE!$G16</f>
        <v>1.2194691607491435</v>
      </c>
      <c r="N16" s="7">
        <f>1+($B16-1)*(N$1-$B$1)^[1]PUE!$G16</f>
        <v>1.2115229523167621</v>
      </c>
      <c r="O16" s="7">
        <f>1+($B16-1)*(O$1-$B$1)^[1]PUE!$G16</f>
        <v>1.2044674612028206</v>
      </c>
      <c r="P16" s="7">
        <f>1+($B16-1)*(P$1-$B$1)^[1]PUE!$G16</f>
        <v>1.1981450849750668</v>
      </c>
      <c r="Q16" s="7">
        <f>1+($B16-1)*(Q$1-$B$1)^[1]PUE!$G16</f>
        <v>1.1924349403224215</v>
      </c>
      <c r="R16" s="7">
        <f>1+($B16-1)*(R$1-$B$1)^[1]PUE!$G16</f>
        <v>1.187242511611426</v>
      </c>
      <c r="S16" s="7">
        <f>1+($B16-1)*(S$1-$B$1)^[1]PUE!$G16</f>
        <v>1.1824926634879243</v>
      </c>
      <c r="T16" s="7">
        <f>1+($B16-1)*(T$1-$B$1)^[1]PUE!$G16</f>
        <v>1.1781247957122036</v>
      </c>
      <c r="U16" s="7">
        <f>1+($B16-1)*(U$1-$B$1)^[1]PUE!$G16</f>
        <v>1.1740894038763681</v>
      </c>
      <c r="V16" s="7">
        <f>1+($B16-1)*(V$1-$B$1)^[1]PUE!$G16</f>
        <v>1.1703455873375199</v>
      </c>
      <c r="W16" s="7">
        <f>1+($B16-1)*(W$1-$B$1)^[1]PUE!$G16</f>
        <v>1.1668592102936721</v>
      </c>
      <c r="X16" s="7">
        <f>1+($B16-1)*(X$1-$B$1)^[1]PUE!$G16</f>
        <v>1.1636015225857503</v>
      </c>
      <c r="Y16" s="7">
        <f>1+($B16-1)*(Y$1-$B$1)^[1]PUE!$G16</f>
        <v>1.1605481100911432</v>
      </c>
      <c r="Z16" s="7">
        <f>1+($B16-1)*(Z$1-$B$1)^[1]PUE!$G16</f>
        <v>1.1576780853525472</v>
      </c>
      <c r="AA16" s="7">
        <f>1+($B16-1)*(AA$1-$B$1)^[1]PUE!$G16</f>
        <v>1.1549734559509826</v>
      </c>
      <c r="AB16" s="7">
        <f>1+($B16-1)*(AB$1-$B$1)^[1]PUE!$G16</f>
        <v>1.1524186261880296</v>
      </c>
      <c r="AC16" s="7">
        <f>1+($B16-1)*(AC$1-$B$1)^[1]PUE!$G16</f>
        <v>1.1499999999999999</v>
      </c>
      <c r="AD16" s="8" t="s">
        <v>1</v>
      </c>
    </row>
    <row r="17" spans="1:30" ht="15" x14ac:dyDescent="0.25">
      <c r="A17" s="2" t="s">
        <v>14</v>
      </c>
      <c r="B17" s="7">
        <v>1.6031037717688743</v>
      </c>
      <c r="C17" s="7">
        <f>1+($B17-1)*(C$1-$B$1)^[1]PUE!$G17</f>
        <v>1.6031037717688743</v>
      </c>
      <c r="D17" s="7">
        <f>1+($B17-1)*(D$1-$B$1)^[1]PUE!$G17</f>
        <v>1.4500923131708299</v>
      </c>
      <c r="E17" s="7">
        <f>1+($B17-1)*(E$1-$B$1)^[1]PUE!$G17</f>
        <v>1.3792786961802106</v>
      </c>
      <c r="F17" s="7">
        <f>1+($B17-1)*(F$1-$B$1)^[1]PUE!$G17</f>
        <v>1.3359008844884221</v>
      </c>
      <c r="G17" s="7">
        <f>1+($B17-1)*(G$1-$B$1)^[1]PUE!$G17</f>
        <v>1.3057012126202838</v>
      </c>
      <c r="H17" s="7">
        <f>1+($B17-1)*(H$1-$B$1)^[1]PUE!$G17</f>
        <v>1.2830531555116658</v>
      </c>
      <c r="I17" s="7">
        <f>1+($B17-1)*(I$1-$B$1)^[1]PUE!$G17</f>
        <v>1.2652186427490559</v>
      </c>
      <c r="J17" s="7">
        <f>1+($B17-1)*(J$1-$B$1)^[1]PUE!$G17</f>
        <v>1.2506805846232718</v>
      </c>
      <c r="K17" s="7">
        <f>1+($B17-1)*(K$1-$B$1)^[1]PUE!$G17</f>
        <v>1.2385200294043071</v>
      </c>
      <c r="L17" s="7">
        <f>1+($B17-1)*(L$1-$B$1)^[1]PUE!$G17</f>
        <v>1.2281427713904614</v>
      </c>
      <c r="M17" s="7">
        <f>1+($B17-1)*(M$1-$B$1)^[1]PUE!$G17</f>
        <v>1.21914487996058</v>
      </c>
      <c r="N17" s="7">
        <f>1+($B17-1)*(N$1-$B$1)^[1]PUE!$G17</f>
        <v>1.2112406777707427</v>
      </c>
      <c r="O17" s="7">
        <f>1+($B17-1)*(O$1-$B$1)^[1]PUE!$G17</f>
        <v>1.2042215184131322</v>
      </c>
      <c r="P17" s="7">
        <f>1+($B17-1)*(P$1-$B$1)^[1]PUE!$G17</f>
        <v>1.1979309001182925</v>
      </c>
      <c r="Q17" s="7">
        <f>1+($B17-1)*(Q$1-$B$1)^[1]PUE!$G17</f>
        <v>1.1922487684055874</v>
      </c>
      <c r="R17" s="7">
        <f>1+($B17-1)*(R$1-$B$1)^[1]PUE!$G17</f>
        <v>1.1870812445247709</v>
      </c>
      <c r="S17" s="7">
        <f>1+($B17-1)*(S$1-$B$1)^[1]PUE!$G17</f>
        <v>1.1823536911442489</v>
      </c>
      <c r="T17" s="7">
        <f>1+($B17-1)*(T$1-$B$1)^[1]PUE!$G17</f>
        <v>1.1780059034571926</v>
      </c>
      <c r="U17" s="7">
        <f>1+($B17-1)*(U$1-$B$1)^[1]PUE!$G17</f>
        <v>1.1739886952870124</v>
      </c>
      <c r="V17" s="7">
        <f>1+($B17-1)*(V$1-$B$1)^[1]PUE!$G17</f>
        <v>1.170261425172596</v>
      </c>
      <c r="W17" s="7">
        <f>1+($B17-1)*(W$1-$B$1)^[1]PUE!$G17</f>
        <v>1.1667901706691639</v>
      </c>
      <c r="X17" s="7">
        <f>1+($B17-1)*(X$1-$B$1)^[1]PUE!$G17</f>
        <v>1.1635463589486572</v>
      </c>
      <c r="Y17" s="7">
        <f>1+($B17-1)*(Y$1-$B$1)^[1]PUE!$G17</f>
        <v>1.160505724563212</v>
      </c>
      <c r="Z17" s="7">
        <f>1+($B17-1)*(Z$1-$B$1)^[1]PUE!$G17</f>
        <v>1.1576475056933384</v>
      </c>
      <c r="AA17" s="7">
        <f>1+($B17-1)*(AA$1-$B$1)^[1]PUE!$G17</f>
        <v>1.1549538168587774</v>
      </c>
      <c r="AB17" s="7">
        <f>1+($B17-1)*(AB$1-$B$1)^[1]PUE!$G17</f>
        <v>1.1524091539872703</v>
      </c>
      <c r="AC17" s="7">
        <f>1+($B17-1)*(AC$1-$B$1)^[1]PUE!$G17</f>
        <v>1.1499999999999999</v>
      </c>
      <c r="AD17" s="8" t="s">
        <v>1</v>
      </c>
    </row>
    <row r="18" spans="1:30" ht="15" x14ac:dyDescent="0.25">
      <c r="A18" s="2" t="s">
        <v>15</v>
      </c>
      <c r="B18" s="7">
        <v>1.6088984607234031</v>
      </c>
      <c r="C18" s="7">
        <f>1+($B18-1)*(C$1-$B$1)^[1]PUE!$G18</f>
        <v>1.6088984607234031</v>
      </c>
      <c r="D18" s="7">
        <f>1+($B18-1)*(D$1-$B$1)^[1]PUE!$G18</f>
        <v>1.4535039205924325</v>
      </c>
      <c r="E18" s="7">
        <f>1+($B18-1)*(E$1-$B$1)^[1]PUE!$G18</f>
        <v>1.3817042572688378</v>
      </c>
      <c r="F18" s="7">
        <f>1+($B18-1)*(F$1-$B$1)^[1]PUE!$G18</f>
        <v>1.3377669993587527</v>
      </c>
      <c r="G18" s="7">
        <f>1+($B18-1)*(G$1-$B$1)^[1]PUE!$G18</f>
        <v>1.3072006028498453</v>
      </c>
      <c r="H18" s="7">
        <f>1+($B18-1)*(H$1-$B$1)^[1]PUE!$G18</f>
        <v>1.2842910408618597</v>
      </c>
      <c r="I18" s="7">
        <f>1+($B18-1)*(I$1-$B$1)^[1]PUE!$G18</f>
        <v>1.2662594236042826</v>
      </c>
      <c r="J18" s="7">
        <f>1+($B18-1)*(J$1-$B$1)^[1]PUE!$G18</f>
        <v>1.2515668347624851</v>
      </c>
      <c r="K18" s="7">
        <f>1+($B18-1)*(K$1-$B$1)^[1]PUE!$G18</f>
        <v>1.2392815049065131</v>
      </c>
      <c r="L18" s="7">
        <f>1+($B18-1)*(L$1-$B$1)^[1]PUE!$G18</f>
        <v>1.2288011660191227</v>
      </c>
      <c r="M18" s="7">
        <f>1+($B18-1)*(M$1-$B$1)^[1]PUE!$G18</f>
        <v>1.2197165422713672</v>
      </c>
      <c r="N18" s="7">
        <f>1+($B18-1)*(N$1-$B$1)^[1]PUE!$G18</f>
        <v>1.2117382616914232</v>
      </c>
      <c r="O18" s="7">
        <f>1+($B18-1)*(O$1-$B$1)^[1]PUE!$G18</f>
        <v>1.2046550361753652</v>
      </c>
      <c r="P18" s="7">
        <f>1+($B18-1)*(P$1-$B$1)^[1]PUE!$G18</f>
        <v>1.1983084213347599</v>
      </c>
      <c r="Q18" s="7">
        <f>1+($B18-1)*(Q$1-$B$1)^[1]PUE!$G18</f>
        <v>1.192576899938339</v>
      </c>
      <c r="R18" s="7">
        <f>1+($B18-1)*(R$1-$B$1)^[1]PUE!$G18</f>
        <v>1.1873654693103919</v>
      </c>
      <c r="S18" s="7">
        <f>1+($B18-1)*(S$1-$B$1)^[1]PUE!$G18</f>
        <v>1.1825986132962822</v>
      </c>
      <c r="T18" s="7">
        <f>1+($B18-1)*(T$1-$B$1)^[1]PUE!$G18</f>
        <v>1.1782154293368379</v>
      </c>
      <c r="U18" s="7">
        <f>1+($B18-1)*(U$1-$B$1)^[1]PUE!$G18</f>
        <v>1.1741661697567609</v>
      </c>
      <c r="V18" s="7">
        <f>1+($B18-1)*(V$1-$B$1)^[1]PUE!$G18</f>
        <v>1.1704097358080314</v>
      </c>
      <c r="W18" s="7">
        <f>1+($B18-1)*(W$1-$B$1)^[1]PUE!$G18</f>
        <v>1.1669118286273168</v>
      </c>
      <c r="X18" s="7">
        <f>1+($B18-1)*(X$1-$B$1)^[1]PUE!$G18</f>
        <v>1.1636435625419346</v>
      </c>
      <c r="Y18" s="7">
        <f>1+($B18-1)*(Y$1-$B$1)^[1]PUE!$G18</f>
        <v>1.1605804098257613</v>
      </c>
      <c r="Z18" s="7">
        <f>1+($B18-1)*(Z$1-$B$1)^[1]PUE!$G18</f>
        <v>1.1577013870299577</v>
      </c>
      <c r="AA18" s="7">
        <f>1+($B18-1)*(AA$1-$B$1)^[1]PUE!$G18</f>
        <v>1.154988420038358</v>
      </c>
      <c r="AB18" s="7">
        <f>1+($B18-1)*(AB$1-$B$1)^[1]PUE!$G18</f>
        <v>1.152425843159874</v>
      </c>
      <c r="AC18" s="7">
        <f>1+($B18-1)*(AC$1-$B$1)^[1]PUE!$G18</f>
        <v>1.1499999999999999</v>
      </c>
      <c r="AD18" s="8" t="s">
        <v>1</v>
      </c>
    </row>
    <row r="19" spans="1:30" ht="15" x14ac:dyDescent="0.25">
      <c r="A19" s="2" t="s">
        <v>16</v>
      </c>
      <c r="B19" s="7">
        <v>1.5812825299787383</v>
      </c>
      <c r="C19" s="7">
        <f>1+($B19-1)*(C$1-$B$1)^[1]PUE!$G19</f>
        <v>1.5812825299787383</v>
      </c>
      <c r="D19" s="7">
        <f>1+($B19-1)*(D$1-$B$1)^[1]PUE!$G19</f>
        <v>1.4371825157281934</v>
      </c>
      <c r="E19" s="7">
        <f>1+($B19-1)*(E$1-$B$1)^[1]PUE!$G19</f>
        <v>1.3700740220754315</v>
      </c>
      <c r="F19" s="7">
        <f>1+($B19-1)*(F$1-$B$1)^[1]PUE!$G19</f>
        <v>1.3288049136199278</v>
      </c>
      <c r="G19" s="7">
        <f>1+($B19-1)*(G$1-$B$1)^[1]PUE!$G19</f>
        <v>1.2999907825743748</v>
      </c>
      <c r="H19" s="7">
        <f>1+($B19-1)*(H$1-$B$1)^[1]PUE!$G19</f>
        <v>1.2783326242103061</v>
      </c>
      <c r="I19" s="7">
        <f>1+($B19-1)*(I$1-$B$1)^[1]PUE!$G19</f>
        <v>1.2612454446035313</v>
      </c>
      <c r="J19" s="7">
        <f>1+($B19-1)*(J$1-$B$1)^[1]PUE!$G19</f>
        <v>1.2472941330705556</v>
      </c>
      <c r="K19" s="7">
        <f>1+($B19-1)*(K$1-$B$1)^[1]PUE!$G19</f>
        <v>1.2356079440751409</v>
      </c>
      <c r="L19" s="7">
        <f>1+($B19-1)*(L$1-$B$1)^[1]PUE!$G19</f>
        <v>1.2256230288323509</v>
      </c>
      <c r="M19" s="7">
        <f>1+($B19-1)*(M$1-$B$1)^[1]PUE!$G19</f>
        <v>1.2169556038673663</v>
      </c>
      <c r="N19" s="7">
        <f>1+($B19-1)*(N$1-$B$1)^[1]PUE!$G19</f>
        <v>1.2093339307237434</v>
      </c>
      <c r="O19" s="7">
        <f>1+($B19-1)*(O$1-$B$1)^[1]PUE!$G19</f>
        <v>1.2025593380229231</v>
      </c>
      <c r="P19" s="7">
        <f>1+($B19-1)*(P$1-$B$1)^[1]PUE!$G19</f>
        <v>1.196482665148185</v>
      </c>
      <c r="Q19" s="7">
        <f>1+($B19-1)*(Q$1-$B$1)^[1]PUE!$G19</f>
        <v>1.1909893894401331</v>
      </c>
      <c r="R19" s="7">
        <f>1+($B19-1)*(R$1-$B$1)^[1]PUE!$G19</f>
        <v>1.1859898855459541</v>
      </c>
      <c r="S19" s="7">
        <f>1+($B19-1)*(S$1-$B$1)^[1]PUE!$G19</f>
        <v>1.1814128441291467</v>
      </c>
      <c r="T19" s="7">
        <f>1+($B19-1)*(T$1-$B$1)^[1]PUE!$G19</f>
        <v>1.177200704311697</v>
      </c>
      <c r="U19" s="7">
        <f>1+($B19-1)*(U$1-$B$1)^[1]PUE!$G19</f>
        <v>1.1733064087946123</v>
      </c>
      <c r="V19" s="7">
        <f>1+($B19-1)*(V$1-$B$1)^[1]PUE!$G19</f>
        <v>1.1696910508470808</v>
      </c>
      <c r="W19" s="7">
        <f>1+($B19-1)*(W$1-$B$1)^[1]PUE!$G19</f>
        <v>1.1663221367358994</v>
      </c>
      <c r="X19" s="7">
        <f>1+($B19-1)*(X$1-$B$1)^[1]PUE!$G19</f>
        <v>1.1631722816502568</v>
      </c>
      <c r="Y19" s="7">
        <f>1+($B19-1)*(Y$1-$B$1)^[1]PUE!$G19</f>
        <v>1.1602182166208361</v>
      </c>
      <c r="Z19" s="7">
        <f>1+($B19-1)*(Z$1-$B$1)^[1]PUE!$G19</f>
        <v>1.1574400222632271</v>
      </c>
      <c r="AA19" s="7">
        <f>1+($B19-1)*(AA$1-$B$1)^[1]PUE!$G19</f>
        <v>1.1548205304447694</v>
      </c>
      <c r="AB19" s="7">
        <f>1+($B19-1)*(AB$1-$B$1)^[1]PUE!$G19</f>
        <v>1.1523448519678343</v>
      </c>
      <c r="AC19" s="7">
        <f>1+($B19-1)*(AC$1-$B$1)^[1]PUE!$G19</f>
        <v>1.1499999999999999</v>
      </c>
      <c r="AD19" s="8" t="s">
        <v>1</v>
      </c>
    </row>
    <row r="20" spans="1:30" ht="15" x14ac:dyDescent="0.25">
      <c r="A20" s="6" t="s">
        <v>8</v>
      </c>
      <c r="B20" s="7">
        <v>1.6021374701932229</v>
      </c>
      <c r="C20" s="7">
        <f>1+($B20-1)*(C$1-$B$1)^[1]PUE!$G20</f>
        <v>1.6021374701932229</v>
      </c>
      <c r="D20" s="7">
        <f>1+($B20-1)*(D$1-$B$1)^[1]PUE!$G20</f>
        <v>1.449522736576798</v>
      </c>
      <c r="E20" s="7">
        <f>1+($B20-1)*(E$1-$B$1)^[1]PUE!$G20</f>
        <v>1.3788734640497928</v>
      </c>
      <c r="F20" s="7">
        <f>1+($B20-1)*(F$1-$B$1)^[1]PUE!$G20</f>
        <v>1.3355889654810054</v>
      </c>
      <c r="G20" s="7">
        <f>1+($B20-1)*(G$1-$B$1)^[1]PUE!$G20</f>
        <v>1.3054504964072093</v>
      </c>
      <c r="H20" s="7">
        <f>1+($B20-1)*(H$1-$B$1)^[1]PUE!$G20</f>
        <v>1.2828461021057895</v>
      </c>
      <c r="I20" s="7">
        <f>1+($B20-1)*(I$1-$B$1)^[1]PUE!$G20</f>
        <v>1.265044512300882</v>
      </c>
      <c r="J20" s="7">
        <f>1+($B20-1)*(J$1-$B$1)^[1]PUE!$G20</f>
        <v>1.2505322747637504</v>
      </c>
      <c r="K20" s="7">
        <f>1+($B20-1)*(K$1-$B$1)^[1]PUE!$G20</f>
        <v>1.2383925745644544</v>
      </c>
      <c r="L20" s="7">
        <f>1+($B20-1)*(L$1-$B$1)^[1]PUE!$G20</f>
        <v>1.2280325504234921</v>
      </c>
      <c r="M20" s="7">
        <f>1+($B20-1)*(M$1-$B$1)^[1]PUE!$G20</f>
        <v>1.2190491632774547</v>
      </c>
      <c r="N20" s="7">
        <f>1+($B20-1)*(N$1-$B$1)^[1]PUE!$G20</f>
        <v>1.2111573521705508</v>
      </c>
      <c r="O20" s="7">
        <f>1+($B20-1)*(O$1-$B$1)^[1]PUE!$G20</f>
        <v>1.2041489115103332</v>
      </c>
      <c r="P20" s="7">
        <f>1+($B20-1)*(P$1-$B$1)^[1]PUE!$G20</f>
        <v>1.197867663751141</v>
      </c>
      <c r="Q20" s="7">
        <f>1+($B20-1)*(Q$1-$B$1)^[1]PUE!$G20</f>
        <v>1.1921937985895348</v>
      </c>
      <c r="R20" s="7">
        <f>1+($B20-1)*(R$1-$B$1)^[1]PUE!$G20</f>
        <v>1.1870336249236777</v>
      </c>
      <c r="S20" s="7">
        <f>1+($B20-1)*(S$1-$B$1)^[1]PUE!$G20</f>
        <v>1.1823126521716223</v>
      </c>
      <c r="T20" s="7">
        <f>1+($B20-1)*(T$1-$B$1)^[1]PUE!$G20</f>
        <v>1.1779707920575244</v>
      </c>
      <c r="U20" s="7">
        <f>1+($B20-1)*(U$1-$B$1)^[1]PUE!$G20</f>
        <v>1.1739589521933913</v>
      </c>
      <c r="V20" s="7">
        <f>1+($B20-1)*(V$1-$B$1)^[1]PUE!$G20</f>
        <v>1.1702365675101756</v>
      </c>
      <c r="W20" s="7">
        <f>1+($B20-1)*(W$1-$B$1)^[1]PUE!$G20</f>
        <v>1.1667697784537465</v>
      </c>
      <c r="X20" s="7">
        <f>1+($B20-1)*(X$1-$B$1)^[1]PUE!$G20</f>
        <v>1.1635300644713931</v>
      </c>
      <c r="Y20" s="7">
        <f>1+($B20-1)*(Y$1-$B$1)^[1]PUE!$G20</f>
        <v>1.160493203946271</v>
      </c>
      <c r="Z20" s="7">
        <f>1+($B20-1)*(Z$1-$B$1)^[1]PUE!$G20</f>
        <v>1.1576384721009927</v>
      </c>
      <c r="AA20" s="7">
        <f>1+($B20-1)*(AA$1-$B$1)^[1]PUE!$G20</f>
        <v>1.1549480149864633</v>
      </c>
      <c r="AB20" s="7">
        <f>1+($B20-1)*(AB$1-$B$1)^[1]PUE!$G20</f>
        <v>1.1524063555484285</v>
      </c>
      <c r="AC20" s="7">
        <f>1+($B20-1)*(AC$1-$B$1)^[1]PUE!$G20</f>
        <v>1.1499999999999999</v>
      </c>
      <c r="AD20" s="8" t="s">
        <v>1</v>
      </c>
    </row>
    <row r="21" spans="1:30" ht="15" x14ac:dyDescent="0.25">
      <c r="A21" s="2" t="s">
        <v>9</v>
      </c>
      <c r="B21" s="7">
        <v>1.6033849414960266</v>
      </c>
      <c r="C21" s="7">
        <f>1+($B21-1)*(C$1-$B$1)^[1]PUE!$G21</f>
        <v>1.6033849414960266</v>
      </c>
      <c r="D21" s="7">
        <f>1+($B21-1)*(D$1-$B$1)^[1]PUE!$G21</f>
        <v>1.4502580097366</v>
      </c>
      <c r="E21" s="7">
        <f>1+($B21-1)*(E$1-$B$1)^[1]PUE!$G21</f>
        <v>1.3793965679938602</v>
      </c>
      <c r="F21" s="7">
        <f>1+($B21-1)*(F$1-$B$1)^[1]PUE!$G21</f>
        <v>1.3359916056726768</v>
      </c>
      <c r="G21" s="7">
        <f>1+($B21-1)*(G$1-$B$1)^[1]PUE!$G21</f>
        <v>1.3057741279537312</v>
      </c>
      <c r="H21" s="7">
        <f>1+($B21-1)*(H$1-$B$1)^[1]PUE!$G21</f>
        <v>1.2831133690248664</v>
      </c>
      <c r="I21" s="7">
        <f>1+($B21-1)*(I$1-$B$1)^[1]PUE!$G21</f>
        <v>1.2652692794366629</v>
      </c>
      <c r="J21" s="7">
        <f>1+($B21-1)*(J$1-$B$1)^[1]PUE!$G21</f>
        <v>1.2507237109419644</v>
      </c>
      <c r="K21" s="7">
        <f>1+($B21-1)*(K$1-$B$1)^[1]PUE!$G21</f>
        <v>1.2385570900205629</v>
      </c>
      <c r="L21" s="7">
        <f>1+($B21-1)*(L$1-$B$1)^[1]PUE!$G21</f>
        <v>1.2281748197759721</v>
      </c>
      <c r="M21" s="7">
        <f>1+($B21-1)*(M$1-$B$1)^[1]PUE!$G21</f>
        <v>1.2191727101770582</v>
      </c>
      <c r="N21" s="7">
        <f>1+($B21-1)*(N$1-$B$1)^[1]PUE!$G21</f>
        <v>1.2112649045415387</v>
      </c>
      <c r="O21" s="7">
        <f>1+($B21-1)*(O$1-$B$1)^[1]PUE!$G21</f>
        <v>1.2042426282111343</v>
      </c>
      <c r="P21" s="7">
        <f>1+($B21-1)*(P$1-$B$1)^[1]PUE!$G21</f>
        <v>1.1979492850903377</v>
      </c>
      <c r="Q21" s="7">
        <f>1+($B21-1)*(Q$1-$B$1)^[1]PUE!$G21</f>
        <v>1.1922647496626744</v>
      </c>
      <c r="R21" s="7">
        <f>1+($B21-1)*(R$1-$B$1)^[1]PUE!$G21</f>
        <v>1.1870950885890594</v>
      </c>
      <c r="S21" s="7">
        <f>1+($B21-1)*(S$1-$B$1)^[1]PUE!$G21</f>
        <v>1.18236562184817</v>
      </c>
      <c r="T21" s="7">
        <f>1+($B21-1)*(T$1-$B$1)^[1]PUE!$G21</f>
        <v>1.1780161107350422</v>
      </c>
      <c r="U21" s="7">
        <f>1+($B21-1)*(U$1-$B$1)^[1]PUE!$G21</f>
        <v>1.1739973417912821</v>
      </c>
      <c r="V21" s="7">
        <f>1+($B21-1)*(V$1-$B$1)^[1]PUE!$G21</f>
        <v>1.1702686513349341</v>
      </c>
      <c r="W21" s="7">
        <f>1+($B21-1)*(W$1-$B$1)^[1]PUE!$G21</f>
        <v>1.1667960986280876</v>
      </c>
      <c r="X21" s="7">
        <f>1+($B21-1)*(X$1-$B$1)^[1]PUE!$G21</f>
        <v>1.163551095637591</v>
      </c>
      <c r="Y21" s="7">
        <f>1+($B21-1)*(Y$1-$B$1)^[1]PUE!$G21</f>
        <v>1.1605093641669286</v>
      </c>
      <c r="Z21" s="7">
        <f>1+($B21-1)*(Z$1-$B$1)^[1]PUE!$G21</f>
        <v>1.1576501316228032</v>
      </c>
      <c r="AA21" s="7">
        <f>1+($B21-1)*(AA$1-$B$1)^[1]PUE!$G21</f>
        <v>1.1549555033542056</v>
      </c>
      <c r="AB21" s="7">
        <f>1+($B21-1)*(AB$1-$B$1)^[1]PUE!$G21</f>
        <v>1.1524099674309209</v>
      </c>
      <c r="AC21" s="7">
        <f>1+($B21-1)*(AC$1-$B$1)^[1]PUE!$G21</f>
        <v>1.1499999999999999</v>
      </c>
      <c r="AD21" s="8" t="s">
        <v>1</v>
      </c>
    </row>
    <row r="22" spans="1:30" ht="15" x14ac:dyDescent="0.25">
      <c r="A22" s="2" t="s">
        <v>11</v>
      </c>
      <c r="B22" s="7">
        <v>1.3788870113166367</v>
      </c>
      <c r="C22" s="7">
        <f>1+($B22-1)*(C$1-$B$1)^[1]PUE!$G22</f>
        <v>1.3788870113166367</v>
      </c>
      <c r="D22" s="7">
        <f>1+($B22-1)*(D$1-$B$1)^[1]PUE!$G22</f>
        <v>1.3118007277399</v>
      </c>
      <c r="E22" s="7">
        <f>1+($B22-1)*(E$1-$B$1)^[1]PUE!$G22</f>
        <v>1.2782083953261361</v>
      </c>
      <c r="F22" s="7">
        <f>1+($B22-1)*(F$1-$B$1)^[1]PUE!$G22</f>
        <v>1.2565928388025012</v>
      </c>
      <c r="G22" s="7">
        <f>1+($B22-1)*(G$1-$B$1)^[1]PUE!$G22</f>
        <v>1.2409899447784083</v>
      </c>
      <c r="H22" s="7">
        <f>1+($B22-1)*(H$1-$B$1)^[1]PUE!$G22</f>
        <v>1.2289484134718609</v>
      </c>
      <c r="I22" s="7">
        <f>1+($B22-1)*(I$1-$B$1)^[1]PUE!$G22</f>
        <v>1.219238080540799</v>
      </c>
      <c r="J22" s="7">
        <f>1+($B22-1)*(J$1-$B$1)^[1]PUE!$G22</f>
        <v>1.2111601387269664</v>
      </c>
      <c r="K22" s="7">
        <f>1+($B22-1)*(K$1-$B$1)^[1]PUE!$G22</f>
        <v>1.2042823029508929</v>
      </c>
      <c r="L22" s="7">
        <f>1+($B22-1)*(L$1-$B$1)^[1]PUE!$G22</f>
        <v>1.1983199157416105</v>
      </c>
      <c r="M22" s="7">
        <f>1+($B22-1)*(M$1-$B$1)^[1]PUE!$G22</f>
        <v>1.1930763363797006</v>
      </c>
      <c r="N22" s="7">
        <f>1+($B22-1)*(N$1-$B$1)^[1]PUE!$G22</f>
        <v>1.1884104754273672</v>
      </c>
      <c r="O22" s="7">
        <f>1+($B22-1)*(O$1-$B$1)^[1]PUE!$G22</f>
        <v>1.1842179347320072</v>
      </c>
      <c r="P22" s="7">
        <f>1+($B22-1)*(P$1-$B$1)^[1]PUE!$G22</f>
        <v>1.1804194681242122</v>
      </c>
      <c r="Q22" s="7">
        <f>1+($B22-1)*(Q$1-$B$1)^[1]PUE!$G22</f>
        <v>1.1769536136737744</v>
      </c>
      <c r="R22" s="7">
        <f>1+($B22-1)*(R$1-$B$1)^[1]PUE!$G22</f>
        <v>1.1737718184002457</v>
      </c>
      <c r="S22" s="7">
        <f>1+($B22-1)*(S$1-$B$1)^[1]PUE!$G22</f>
        <v>1.1708351127698244</v>
      </c>
      <c r="T22" s="7">
        <f>1+($B22-1)*(T$1-$B$1)^[1]PUE!$G22</f>
        <v>1.1681117821989435</v>
      </c>
      <c r="U22" s="7">
        <f>1+($B22-1)*(U$1-$B$1)^[1]PUE!$G22</f>
        <v>1.1655756990966348</v>
      </c>
      <c r="V22" s="7">
        <f>1+($B22-1)*(V$1-$B$1)^[1]PUE!$G22</f>
        <v>1.1632051039138764</v>
      </c>
      <c r="W22" s="7">
        <f>1+($B22-1)*(W$1-$B$1)^[1]PUE!$G22</f>
        <v>1.1609816983952113</v>
      </c>
      <c r="X22" s="7">
        <f>1+($B22-1)*(X$1-$B$1)^[1]PUE!$G22</f>
        <v>1.1588899603165175</v>
      </c>
      <c r="Y22" s="7">
        <f>1+($B22-1)*(Y$1-$B$1)^[1]PUE!$G22</f>
        <v>1.1569166182009798</v>
      </c>
      <c r="Z22" s="7">
        <f>1+($B22-1)*(Z$1-$B$1)^[1]PUE!$G22</f>
        <v>1.1550502434694945</v>
      </c>
      <c r="AA22" s="7">
        <f>1+($B22-1)*(AA$1-$B$1)^[1]PUE!$G22</f>
        <v>1.1532809300653644</v>
      </c>
      <c r="AB22" s="7">
        <f>1+($B22-1)*(AB$1-$B$1)^[1]PUE!$G22</f>
        <v>1.1516000401084721</v>
      </c>
      <c r="AC22" s="7">
        <f>1+($B22-1)*(AC$1-$B$1)^[1]PUE!$G22</f>
        <v>1.1499999999999999</v>
      </c>
      <c r="AD22" s="8" t="s">
        <v>1</v>
      </c>
    </row>
    <row r="23" spans="1:30" ht="15" x14ac:dyDescent="0.25">
      <c r="A23" s="2" t="s">
        <v>5</v>
      </c>
      <c r="B23" s="7">
        <v>1.502598155702122</v>
      </c>
      <c r="C23" s="7">
        <f>1+($B23-1)*(C$1-$B$1)^[1]PUE!$G23</f>
        <v>1.502598155702122</v>
      </c>
      <c r="D23" s="7">
        <f>1+($B23-1)*(D$1-$B$1)^[1]PUE!$G23</f>
        <v>1.3897453307472221</v>
      </c>
      <c r="E23" s="7">
        <f>1+($B23-1)*(E$1-$B$1)^[1]PUE!$G23</f>
        <v>1.3358750005000333</v>
      </c>
      <c r="F23" s="7">
        <f>1+($B23-1)*(F$1-$B$1)^[1]PUE!$G23</f>
        <v>1.3022323522597441</v>
      </c>
      <c r="G23" s="7">
        <f>1+($B23-1)*(G$1-$B$1)^[1]PUE!$G23</f>
        <v>1.278475647367816</v>
      </c>
      <c r="H23" s="7">
        <f>1+($B23-1)*(H$1-$B$1)^[1]PUE!$G23</f>
        <v>1.2604580054153511</v>
      </c>
      <c r="I23" s="7">
        <f>1+($B23-1)*(I$1-$B$1)^[1]PUE!$G23</f>
        <v>1.2461368839161737</v>
      </c>
      <c r="J23" s="7">
        <f>1+($B23-1)*(J$1-$B$1)^[1]PUE!$G23</f>
        <v>1.2343694395961897</v>
      </c>
      <c r="K23" s="7">
        <f>1+($B23-1)*(K$1-$B$1)^[1]PUE!$G23</f>
        <v>1.224457679919857</v>
      </c>
      <c r="L23" s="7">
        <f>1+($B23-1)*(L$1-$B$1)^[1]PUE!$G23</f>
        <v>1.2159470385178692</v>
      </c>
      <c r="M23" s="7">
        <f>1+($B23-1)*(M$1-$B$1)^[1]PUE!$G23</f>
        <v>1.2085265545671513</v>
      </c>
      <c r="N23" s="7">
        <f>1+($B23-1)*(N$1-$B$1)^[1]PUE!$G23</f>
        <v>1.2019750576373616</v>
      </c>
      <c r="O23" s="7">
        <f>1+($B23-1)*(O$1-$B$1)^[1]PUE!$G23</f>
        <v>1.1961301860679372</v>
      </c>
      <c r="P23" s="7">
        <f>1+($B23-1)*(P$1-$B$1)^[1]PUE!$G23</f>
        <v>1.1908695846624944</v>
      </c>
      <c r="Q23" s="7">
        <f>1+($B23-1)*(Q$1-$B$1)^[1]PUE!$G23</f>
        <v>1.1860989881036235</v>
      </c>
      <c r="R23" s="7">
        <f>1+($B23-1)*(R$1-$B$1)^[1]PUE!$G23</f>
        <v>1.1817443890633688</v>
      </c>
      <c r="S23" s="7">
        <f>1+($B23-1)*(S$1-$B$1)^[1]PUE!$G23</f>
        <v>1.1777467294235828</v>
      </c>
      <c r="T23" s="7">
        <f>1+($B23-1)*(T$1-$B$1)^[1]PUE!$G23</f>
        <v>1.1740582047638211</v>
      </c>
      <c r="U23" s="7">
        <f>1+($B23-1)*(U$1-$B$1)^[1]PUE!$G23</f>
        <v>1.1706396316031296</v>
      </c>
      <c r="V23" s="7">
        <f>1+($B23-1)*(V$1-$B$1)^[1]PUE!$G23</f>
        <v>1.1674585332161709</v>
      </c>
      <c r="W23" s="7">
        <f>1+($B23-1)*(W$1-$B$1)^[1]PUE!$G23</f>
        <v>1.1644877225881003</v>
      </c>
      <c r="X23" s="7">
        <f>1+($B23-1)*(X$1-$B$1)^[1]PUE!$G23</f>
        <v>1.1617042363910328</v>
      </c>
      <c r="Y23" s="7">
        <f>1+($B23-1)*(Y$1-$B$1)^[1]PUE!$G23</f>
        <v>1.1590885213685398</v>
      </c>
      <c r="Z23" s="7">
        <f>1+($B23-1)*(Z$1-$B$1)^[1]PUE!$G23</f>
        <v>1.1566238052178957</v>
      </c>
      <c r="AA23" s="7">
        <f>1+($B23-1)*(AA$1-$B$1)^[1]PUE!$G23</f>
        <v>1.1542956043453638</v>
      </c>
      <c r="AB23" s="7">
        <f>1+($B23-1)*(AB$1-$B$1)^[1]PUE!$G23</f>
        <v>1.1520913345409629</v>
      </c>
      <c r="AC23" s="7">
        <f>1+($B23-1)*(AC$1-$B$1)^[1]PUE!$G23</f>
        <v>1.1499999999999999</v>
      </c>
      <c r="AD23" s="8" t="s">
        <v>1</v>
      </c>
    </row>
    <row r="24" spans="1:30" ht="15" x14ac:dyDescent="0.25">
      <c r="A24" s="2" t="s">
        <v>27</v>
      </c>
      <c r="B24" s="7">
        <v>1.5829922955696267</v>
      </c>
      <c r="C24" s="7">
        <f>1+($B24-1)*(C$1-$B$1)^[1]PUE!$G24</f>
        <v>1.5829922955696267</v>
      </c>
      <c r="D24" s="7">
        <f>1+($B24-1)*(D$1-$B$1)^[1]PUE!$G24</f>
        <v>1.4381976759262618</v>
      </c>
      <c r="E24" s="7">
        <f>1+($B24-1)*(E$1-$B$1)^[1]PUE!$G24</f>
        <v>1.3707993492780424</v>
      </c>
      <c r="F24" s="7">
        <f>1+($B24-1)*(F$1-$B$1)^[1]PUE!$G24</f>
        <v>1.3293649069574105</v>
      </c>
      <c r="G24" s="7">
        <f>1+($B24-1)*(G$1-$B$1)^[1]PUE!$G24</f>
        <v>1.3004419526371418</v>
      </c>
      <c r="H24" s="7">
        <f>1+($B24-1)*(H$1-$B$1)^[1]PUE!$G24</f>
        <v>1.278705935435819</v>
      </c>
      <c r="I24" s="7">
        <f>1+($B24-1)*(I$1-$B$1)^[1]PUE!$G24</f>
        <v>1.261559904910192</v>
      </c>
      <c r="J24" s="7">
        <f>1+($B24-1)*(J$1-$B$1)^[1]PUE!$G24</f>
        <v>1.2475623397722411</v>
      </c>
      <c r="K24" s="7">
        <f>1+($B24-1)*(K$1-$B$1)^[1]PUE!$G24</f>
        <v>1.2358387211458421</v>
      </c>
      <c r="L24" s="7">
        <f>1+($B24-1)*(L$1-$B$1)^[1]PUE!$G24</f>
        <v>1.225822822011239</v>
      </c>
      <c r="M24" s="7">
        <f>1+($B24-1)*(M$1-$B$1)^[1]PUE!$G24</f>
        <v>1.2171292793034796</v>
      </c>
      <c r="N24" s="7">
        <f>1+($B24-1)*(N$1-$B$1)^[1]PUE!$G24</f>
        <v>1.209485260959585</v>
      </c>
      <c r="O24" s="7">
        <f>1+($B24-1)*(O$1-$B$1)^[1]PUE!$G24</f>
        <v>1.202691312489492</v>
      </c>
      <c r="P24" s="7">
        <f>1+($B24-1)*(P$1-$B$1)^[1]PUE!$G24</f>
        <v>1.1965976966044687</v>
      </c>
      <c r="Q24" s="7">
        <f>1+($B24-1)*(Q$1-$B$1)^[1]PUE!$G24</f>
        <v>1.1910894558646388</v>
      </c>
      <c r="R24" s="7">
        <f>1+($B24-1)*(R$1-$B$1)^[1]PUE!$G24</f>
        <v>1.1860766304451233</v>
      </c>
      <c r="S24" s="7">
        <f>1+($B24-1)*(S$1-$B$1)^[1]PUE!$G24</f>
        <v>1.1814876491818853</v>
      </c>
      <c r="T24" s="7">
        <f>1+($B24-1)*(T$1-$B$1)^[1]PUE!$G24</f>
        <v>1.1772647430933114</v>
      </c>
      <c r="U24" s="7">
        <f>1+($B24-1)*(U$1-$B$1)^[1]PUE!$G24</f>
        <v>1.1733606872443205</v>
      </c>
      <c r="V24" s="7">
        <f>1+($B24-1)*(V$1-$B$1)^[1]PUE!$G24</f>
        <v>1.1697364382487225</v>
      </c>
      <c r="W24" s="7">
        <f>1+($B24-1)*(W$1-$B$1)^[1]PUE!$G24</f>
        <v>1.1663593897808942</v>
      </c>
      <c r="X24" s="7">
        <f>1+($B24-1)*(X$1-$B$1)^[1]PUE!$G24</f>
        <v>1.1632020633709486</v>
      </c>
      <c r="Y24" s="7">
        <f>1+($B24-1)*(Y$1-$B$1)^[1]PUE!$G24</f>
        <v>1.1602411114625144</v>
      </c>
      <c r="Z24" s="7">
        <f>1+($B24-1)*(Z$1-$B$1)^[1]PUE!$G24</f>
        <v>1.1574565482097925</v>
      </c>
      <c r="AA24" s="7">
        <f>1+($B24-1)*(AA$1-$B$1)^[1]PUE!$G24</f>
        <v>1.1548311488683098</v>
      </c>
      <c r="AB24" s="7">
        <f>1+($B24-1)*(AB$1-$B$1)^[1]PUE!$G24</f>
        <v>1.1523499757000331</v>
      </c>
      <c r="AC24" s="7">
        <f>1+($B24-1)*(AC$1-$B$1)^[1]PUE!$G24</f>
        <v>1.1499999999999999</v>
      </c>
      <c r="AD24" s="8" t="s">
        <v>1</v>
      </c>
    </row>
    <row r="25" spans="1:30" ht="15" x14ac:dyDescent="0.25">
      <c r="A25" s="2" t="s">
        <v>10</v>
      </c>
      <c r="B25" s="7">
        <v>1.6006301650037311</v>
      </c>
      <c r="C25" s="7">
        <f>1+($B25-1)*(C$1-$B$1)^[1]PUE!$G25</f>
        <v>1.6006301650037311</v>
      </c>
      <c r="D25" s="7">
        <f>1+($B25-1)*(D$1-$B$1)^[1]PUE!$G25</f>
        <v>1.4486338869236848</v>
      </c>
      <c r="E25" s="7">
        <f>1+($B25-1)*(E$1-$B$1)^[1]PUE!$G25</f>
        <v>1.37824092138142</v>
      </c>
      <c r="F25" s="7">
        <f>1+($B25-1)*(F$1-$B$1)^[1]PUE!$G25</f>
        <v>1.3351019915807982</v>
      </c>
      <c r="G25" s="7">
        <f>1+($B25-1)*(G$1-$B$1)^[1]PUE!$G25</f>
        <v>1.3050590190183669</v>
      </c>
      <c r="H25" s="7">
        <f>1+($B25-1)*(H$1-$B$1)^[1]PUE!$G25</f>
        <v>1.2825227646564976</v>
      </c>
      <c r="I25" s="7">
        <f>1+($B25-1)*(I$1-$B$1)^[1]PUE!$G25</f>
        <v>1.2647725616606811</v>
      </c>
      <c r="J25" s="7">
        <f>1+($B25-1)*(J$1-$B$1)^[1]PUE!$G25</f>
        <v>1.2503006305016791</v>
      </c>
      <c r="K25" s="7">
        <f>1+($B25-1)*(K$1-$B$1)^[1]PUE!$G25</f>
        <v>1.2381934890109572</v>
      </c>
      <c r="L25" s="7">
        <f>1+($B25-1)*(L$1-$B$1)^[1]PUE!$G25</f>
        <v>1.227860373017539</v>
      </c>
      <c r="M25" s="7">
        <f>1+($B25-1)*(M$1-$B$1)^[1]PUE!$G25</f>
        <v>1.2188996342903893</v>
      </c>
      <c r="N25" s="7">
        <f>1+($B25-1)*(N$1-$B$1)^[1]PUE!$G25</f>
        <v>1.2110271735211344</v>
      </c>
      <c r="O25" s="7">
        <f>1+($B25-1)*(O$1-$B$1)^[1]PUE!$G25</f>
        <v>1.2040354729005007</v>
      </c>
      <c r="P25" s="7">
        <f>1+($B25-1)*(P$1-$B$1)^[1]PUE!$G25</f>
        <v>1.1977688607894583</v>
      </c>
      <c r="Q25" s="7">
        <f>1+($B25-1)*(Q$1-$B$1)^[1]PUE!$G25</f>
        <v>1.1921079079145191</v>
      </c>
      <c r="R25" s="7">
        <f>1+($B25-1)*(R$1-$B$1)^[1]PUE!$G25</f>
        <v>1.1869592160106039</v>
      </c>
      <c r="S25" s="7">
        <f>1+($B25-1)*(S$1-$B$1)^[1]PUE!$G25</f>
        <v>1.182248523520756</v>
      </c>
      <c r="T25" s="7">
        <f>1+($B25-1)*(T$1-$B$1)^[1]PUE!$G25</f>
        <v>1.1779159240432686</v>
      </c>
      <c r="U25" s="7">
        <f>1+($B25-1)*(U$1-$B$1)^[1]PUE!$G25</f>
        <v>1.1739124715769997</v>
      </c>
      <c r="V25" s="7">
        <f>1+($B25-1)*(V$1-$B$1)^[1]PUE!$G25</f>
        <v>1.1701977202928266</v>
      </c>
      <c r="W25" s="7">
        <f>1+($B25-1)*(W$1-$B$1)^[1]PUE!$G25</f>
        <v>1.1667379088068823</v>
      </c>
      <c r="X25" s="7">
        <f>1+($B25-1)*(X$1-$B$1)^[1]PUE!$G25</f>
        <v>1.1635045981702574</v>
      </c>
      <c r="Y25" s="7">
        <f>1+($B25-1)*(Y$1-$B$1)^[1]PUE!$G25</f>
        <v>1.1604736351909481</v>
      </c>
      <c r="Z25" s="7">
        <f>1+($B25-1)*(Z$1-$B$1)^[1]PUE!$G25</f>
        <v>1.1576243529205985</v>
      </c>
      <c r="AA25" s="7">
        <f>1+($B25-1)*(AA$1-$B$1)^[1]PUE!$G25</f>
        <v>1.1549389466376039</v>
      </c>
      <c r="AB25" s="7">
        <f>1+($B25-1)*(AB$1-$B$1)^[1]PUE!$G25</f>
        <v>1.1524019814707362</v>
      </c>
      <c r="AC25" s="7">
        <f>1+($B25-1)*(AC$1-$B$1)^[1]PUE!$G25</f>
        <v>1.1499999999999999</v>
      </c>
      <c r="AD25" s="8" t="s">
        <v>1</v>
      </c>
    </row>
    <row r="26" spans="1:30" ht="15" x14ac:dyDescent="0.25">
      <c r="A26" s="2" t="s">
        <v>30</v>
      </c>
      <c r="B26" s="7">
        <v>1.616404751027867</v>
      </c>
      <c r="C26" s="7">
        <f>1+($B26-1)*(C$1-$B$1)^[1]PUE!$G26</f>
        <v>1.616404751027867</v>
      </c>
      <c r="D26" s="7">
        <f>1+($B26-1)*(D$1-$B$1)^[1]PUE!$G26</f>
        <v>1.4579130987514197</v>
      </c>
      <c r="E26" s="7">
        <f>1+($B26-1)*(E$1-$B$1)^[1]PUE!$G26</f>
        <v>1.3848348593229791</v>
      </c>
      <c r="F26" s="7">
        <f>1+($B26-1)*(F$1-$B$1)^[1]PUE!$G26</f>
        <v>1.3401732476241861</v>
      </c>
      <c r="G26" s="7">
        <f>1+($B26-1)*(G$1-$B$1)^[1]PUE!$G26</f>
        <v>1.3091325531215983</v>
      </c>
      <c r="H26" s="7">
        <f>1+($B26-1)*(H$1-$B$1)^[1]PUE!$G26</f>
        <v>1.2858850822390648</v>
      </c>
      <c r="I26" s="7">
        <f>1+($B26-1)*(I$1-$B$1)^[1]PUE!$G26</f>
        <v>1.2675989672382739</v>
      </c>
      <c r="J26" s="7">
        <f>1+($B26-1)*(J$1-$B$1)^[1]PUE!$G26</f>
        <v>1.2527069846106409</v>
      </c>
      <c r="K26" s="7">
        <f>1+($B26-1)*(K$1-$B$1)^[1]PUE!$G26</f>
        <v>1.2402607518893729</v>
      </c>
      <c r="L26" s="7">
        <f>1+($B26-1)*(L$1-$B$1)^[1]PUE!$G26</f>
        <v>1.2296475572078278</v>
      </c>
      <c r="M26" s="7">
        <f>1+($B26-1)*(M$1-$B$1)^[1]PUE!$G26</f>
        <v>1.2204512039925863</v>
      </c>
      <c r="N26" s="7">
        <f>1+($B26-1)*(N$1-$B$1)^[1]PUE!$G26</f>
        <v>1.2123775387464142</v>
      </c>
      <c r="O26" s="7">
        <f>1+($B26-1)*(O$1-$B$1)^[1]PUE!$G26</f>
        <v>1.2052118559130305</v>
      </c>
      <c r="P26" s="7">
        <f>1+($B26-1)*(P$1-$B$1)^[1]PUE!$G26</f>
        <v>1.1987931989596523</v>
      </c>
      <c r="Q26" s="7">
        <f>1+($B26-1)*(Q$1-$B$1)^[1]PUE!$G26</f>
        <v>1.192998159722694</v>
      </c>
      <c r="R26" s="7">
        <f>1+($B26-1)*(R$1-$B$1)^[1]PUE!$G26</f>
        <v>1.1877302830749181</v>
      </c>
      <c r="S26" s="7">
        <f>1+($B26-1)*(S$1-$B$1)^[1]PUE!$G26</f>
        <v>1.1829129175047346</v>
      </c>
      <c r="T26" s="7">
        <f>1+($B26-1)*(T$1-$B$1)^[1]PUE!$G26</f>
        <v>1.1784842592834508</v>
      </c>
      <c r="U26" s="7">
        <f>1+($B26-1)*(U$1-$B$1)^[1]PUE!$G26</f>
        <v>1.1743938357414032</v>
      </c>
      <c r="V26" s="7">
        <f>1+($B26-1)*(V$1-$B$1)^[1]PUE!$G26</f>
        <v>1.1705999578464901</v>
      </c>
      <c r="W26" s="7">
        <f>1+($B26-1)*(W$1-$B$1)^[1]PUE!$G26</f>
        <v>1.1670678409606547</v>
      </c>
      <c r="X26" s="7">
        <f>1+($B26-1)*(X$1-$B$1)^[1]PUE!$G26</f>
        <v>1.1637681957762243</v>
      </c>
      <c r="Y26" s="7">
        <f>1+($B26-1)*(Y$1-$B$1)^[1]PUE!$G26</f>
        <v>1.1606761562508516</v>
      </c>
      <c r="Z26" s="7">
        <f>1+($B26-1)*(Z$1-$B$1)^[1]PUE!$G26</f>
        <v>1.1577704531160786</v>
      </c>
      <c r="AA26" s="7">
        <f>1+($B26-1)*(AA$1-$B$1)^[1]PUE!$G26</f>
        <v>1.1550327690371054</v>
      </c>
      <c r="AB26" s="7">
        <f>1+($B26-1)*(AB$1-$B$1)^[1]PUE!$G26</f>
        <v>1.1524472299815507</v>
      </c>
      <c r="AC26" s="7">
        <f>1+($B26-1)*(AC$1-$B$1)^[1]PUE!$G26</f>
        <v>1.1499999999999999</v>
      </c>
      <c r="AD26" s="8" t="s">
        <v>1</v>
      </c>
    </row>
    <row r="27" spans="1:30" ht="15" x14ac:dyDescent="0.25">
      <c r="A27" s="2" t="s">
        <v>23</v>
      </c>
      <c r="B27" s="7">
        <v>1.5349723473945722</v>
      </c>
      <c r="C27" s="7">
        <f>1+($B27-1)*(C$1-$B$1)^[1]PUE!$G27</f>
        <v>1.5349723473945722</v>
      </c>
      <c r="D27" s="7">
        <f>1+($B27-1)*(D$1-$B$1)^[1]PUE!$G27</f>
        <v>1.4094395292451085</v>
      </c>
      <c r="E27" s="7">
        <f>1+($B27-1)*(E$1-$B$1)^[1]PUE!$G27</f>
        <v>1.3501477250462077</v>
      </c>
      <c r="F27" s="7">
        <f>1+($B27-1)*(F$1-$B$1)^[1]PUE!$G27</f>
        <v>1.3133633521898873</v>
      </c>
      <c r="G27" s="7">
        <f>1+($B27-1)*(G$1-$B$1)^[1]PUE!$G27</f>
        <v>1.2875139834176135</v>
      </c>
      <c r="H27" s="7">
        <f>1+($B27-1)*(H$1-$B$1)^[1]PUE!$G27</f>
        <v>1.2679845423924794</v>
      </c>
      <c r="I27" s="7">
        <f>1+($B27-1)*(I$1-$B$1)^[1]PUE!$G27</f>
        <v>1.2525112550199116</v>
      </c>
      <c r="J27" s="7">
        <f>1+($B27-1)*(J$1-$B$1)^[1]PUE!$G27</f>
        <v>1.2398317296738064</v>
      </c>
      <c r="K27" s="7">
        <f>1+($B27-1)*(K$1-$B$1)^[1]PUE!$G27</f>
        <v>1.2291771340184947</v>
      </c>
      <c r="L27" s="7">
        <f>1+($B27-1)*(L$1-$B$1)^[1]PUE!$G27</f>
        <v>1.2200479905086921</v>
      </c>
      <c r="M27" s="7">
        <f>1+($B27-1)*(M$1-$B$1)^[1]PUE!$G27</f>
        <v>1.2121033522470519</v>
      </c>
      <c r="N27" s="7">
        <f>1+($B27-1)*(N$1-$B$1)^[1]PUE!$G27</f>
        <v>1.2051011896531081</v>
      </c>
      <c r="O27" s="7">
        <f>1+($B27-1)*(O$1-$B$1)^[1]PUE!$G27</f>
        <v>1.1988641392111408</v>
      </c>
      <c r="P27" s="7">
        <f>1+($B27-1)*(P$1-$B$1)^[1]PUE!$G27</f>
        <v>1.1932587541916249</v>
      </c>
      <c r="Q27" s="7">
        <f>1+($B27-1)*(Q$1-$B$1)^[1]PUE!$G27</f>
        <v>1.1881823755993108</v>
      </c>
      <c r="R27" s="7">
        <f>1+($B27-1)*(R$1-$B$1)^[1]PUE!$G27</f>
        <v>1.1835545163669139</v>
      </c>
      <c r="S27" s="7">
        <f>1+($B27-1)*(S$1-$B$1)^[1]PUE!$G27</f>
        <v>1.1793110293074762</v>
      </c>
      <c r="T27" s="7">
        <f>1+($B27-1)*(T$1-$B$1)^[1]PUE!$G27</f>
        <v>1.1754000525882653</v>
      </c>
      <c r="U27" s="7">
        <f>1+($B27-1)*(U$1-$B$1)^[1]PUE!$G27</f>
        <v>1.1717791246892373</v>
      </c>
      <c r="V27" s="7">
        <f>1+($B27-1)*(V$1-$B$1)^[1]PUE!$G27</f>
        <v>1.168413089169934</v>
      </c>
      <c r="W27" s="7">
        <f>1+($B27-1)*(W$1-$B$1)^[1]PUE!$G27</f>
        <v>1.165272545252835</v>
      </c>
      <c r="X27" s="7">
        <f>1+($B27-1)*(X$1-$B$1)^[1]PUE!$G27</f>
        <v>1.1623326833962324</v>
      </c>
      <c r="Y27" s="7">
        <f>1+($B27-1)*(Y$1-$B$1)^[1]PUE!$G27</f>
        <v>1.1595723974265548</v>
      </c>
      <c r="Z27" s="7">
        <f>1+($B27-1)*(Z$1-$B$1)^[1]PUE!$G27</f>
        <v>1.1569735986320857</v>
      </c>
      <c r="AA27" s="7">
        <f>1+($B27-1)*(AA$1-$B$1)^[1]PUE!$G27</f>
        <v>1.1545206795514873</v>
      </c>
      <c r="AB27" s="7">
        <f>1+($B27-1)*(AB$1-$B$1)^[1]PUE!$G27</f>
        <v>1.1522000902268865</v>
      </c>
      <c r="AC27" s="7">
        <f>1+($B27-1)*(AC$1-$B$1)^[1]PUE!$G27</f>
        <v>1.1499999999999999</v>
      </c>
      <c r="AD27" s="8" t="s">
        <v>1</v>
      </c>
    </row>
    <row r="28" spans="1:30" ht="15" x14ac:dyDescent="0.25">
      <c r="A28" s="2" t="s">
        <v>7</v>
      </c>
      <c r="B28" s="7">
        <v>1.5999999999999999</v>
      </c>
      <c r="C28" s="7">
        <f>1+($B28-1)*(C$1-$B$1)^[1]PUE!$G28</f>
        <v>1.5999999999999999</v>
      </c>
      <c r="D28" s="7">
        <f>1+($B28-1)*(D$1-$B$1)^[1]PUE!$G28</f>
        <v>1.4482621430408931</v>
      </c>
      <c r="E28" s="7">
        <f>1+($B28-1)*(E$1-$B$1)^[1]PUE!$G28</f>
        <v>1.3779763149684618</v>
      </c>
      <c r="F28" s="7">
        <f>1+($B28-1)*(F$1-$B$1)^[1]PUE!$G28</f>
        <v>1.334898248139357</v>
      </c>
      <c r="G28" s="7">
        <f>1+($B28-1)*(G$1-$B$1)^[1]PUE!$G28</f>
        <v>1.3048952103334979</v>
      </c>
      <c r="H28" s="7">
        <f>1+($B28-1)*(H$1-$B$1)^[1]PUE!$G28</f>
        <v>1.2823874549441039</v>
      </c>
      <c r="I28" s="7">
        <f>1+($B28-1)*(I$1-$B$1)^[1]PUE!$G28</f>
        <v>1.2646587467480941</v>
      </c>
      <c r="J28" s="7">
        <f>1+($B28-1)*(J$1-$B$1)^[1]PUE!$G28</f>
        <v>1.2502036773526484</v>
      </c>
      <c r="K28" s="7">
        <f>1+($B28-1)*(K$1-$B$1)^[1]PUE!$G28</f>
        <v>1.2381101577952298</v>
      </c>
      <c r="L28" s="7">
        <f>1+($B28-1)*(L$1-$B$1)^[1]PUE!$G28</f>
        <v>1.2277883006449959</v>
      </c>
      <c r="M28" s="7">
        <f>1+($B28-1)*(M$1-$B$1)^[1]PUE!$G28</f>
        <v>1.2188370391839745</v>
      </c>
      <c r="N28" s="7">
        <f>1+($B28-1)*(N$1-$B$1)^[1]PUE!$G28</f>
        <v>1.210972676201846</v>
      </c>
      <c r="O28" s="7">
        <f>1+($B28-1)*(O$1-$B$1)^[1]PUE!$G28</f>
        <v>1.2039879814943175</v>
      </c>
      <c r="P28" s="7">
        <f>1+($B28-1)*(P$1-$B$1)^[1]PUE!$G28</f>
        <v>1.1977274949863628</v>
      </c>
      <c r="Q28" s="7">
        <f>1+($B28-1)*(Q$1-$B$1)^[1]PUE!$G28</f>
        <v>1.1920719467556493</v>
      </c>
      <c r="R28" s="7">
        <f>1+($B28-1)*(R$1-$B$1)^[1]PUE!$G28</f>
        <v>1.1869280610113504</v>
      </c>
      <c r="S28" s="7">
        <f>1+($B28-1)*(S$1-$B$1)^[1]PUE!$G28</f>
        <v>1.1822216719873124</v>
      </c>
      <c r="T28" s="7">
        <f>1+($B28-1)*(T$1-$B$1)^[1]PUE!$G28</f>
        <v>1.1778929493551582</v>
      </c>
      <c r="U28" s="7">
        <f>1+($B28-1)*(U$1-$B$1)^[1]PUE!$G28</f>
        <v>1.1738930083463905</v>
      </c>
      <c r="V28" s="7">
        <f>1+($B28-1)*(V$1-$B$1)^[1]PUE!$G28</f>
        <v>1.170181453011282</v>
      </c>
      <c r="W28" s="7">
        <f>1+($B28-1)*(W$1-$B$1)^[1]PUE!$G28</f>
        <v>1.16672456303336</v>
      </c>
      <c r="X28" s="7">
        <f>1+($B28-1)*(X$1-$B$1)^[1]PUE!$G28</f>
        <v>1.1634939336022205</v>
      </c>
      <c r="Y28" s="7">
        <f>1+($B28-1)*(Y$1-$B$1)^[1]PUE!$G28</f>
        <v>1.1604654401520917</v>
      </c>
      <c r="Z28" s="7">
        <f>1+($B28-1)*(Z$1-$B$1)^[1]PUE!$G28</f>
        <v>1.1576184399288534</v>
      </c>
      <c r="AA28" s="7">
        <f>1+($B28-1)*(AA$1-$B$1)^[1]PUE!$G28</f>
        <v>1.1549351488071797</v>
      </c>
      <c r="AB28" s="7">
        <f>1+($B28-1)*(AB$1-$B$1)^[1]PUE!$G28</f>
        <v>1.1524001495653813</v>
      </c>
      <c r="AC28" s="7">
        <f>1+($B28-1)*(AC$1-$B$1)^[1]PUE!$G28</f>
        <v>1.1499999999999999</v>
      </c>
      <c r="AD28" s="8" t="s">
        <v>1</v>
      </c>
    </row>
    <row r="29" spans="1:30" ht="15" x14ac:dyDescent="0.25">
      <c r="A29" s="2" t="s">
        <v>22</v>
      </c>
      <c r="B29" s="7">
        <v>1.6</v>
      </c>
      <c r="C29" s="7">
        <f>1+($B29-1)*(C$1-$B$1)^[1]PUE!$G29</f>
        <v>1.6</v>
      </c>
      <c r="D29" s="7">
        <f>1+($B29-1)*(D$1-$B$1)^[1]PUE!$G29</f>
        <v>1.4482621430408931</v>
      </c>
      <c r="E29" s="7">
        <f>1+($B29-1)*(E$1-$B$1)^[1]PUE!$G29</f>
        <v>1.3779763149684618</v>
      </c>
      <c r="F29" s="7">
        <f>1+($B29-1)*(F$1-$B$1)^[1]PUE!$G29</f>
        <v>1.334898248139357</v>
      </c>
      <c r="G29" s="7">
        <f>1+($B29-1)*(G$1-$B$1)^[1]PUE!$G29</f>
        <v>1.3048952103334979</v>
      </c>
      <c r="H29" s="7">
        <f>1+($B29-1)*(H$1-$B$1)^[1]PUE!$G29</f>
        <v>1.2823874549441039</v>
      </c>
      <c r="I29" s="7">
        <f>1+($B29-1)*(I$1-$B$1)^[1]PUE!$G29</f>
        <v>1.2646587467480941</v>
      </c>
      <c r="J29" s="7">
        <f>1+($B29-1)*(J$1-$B$1)^[1]PUE!$G29</f>
        <v>1.2502036773526481</v>
      </c>
      <c r="K29" s="7">
        <f>1+($B29-1)*(K$1-$B$1)^[1]PUE!$G29</f>
        <v>1.2381101577952298</v>
      </c>
      <c r="L29" s="7">
        <f>1+($B29-1)*(L$1-$B$1)^[1]PUE!$G29</f>
        <v>1.2277883006449959</v>
      </c>
      <c r="M29" s="7">
        <f>1+($B29-1)*(M$1-$B$1)^[1]PUE!$G29</f>
        <v>1.2188370391839745</v>
      </c>
      <c r="N29" s="7">
        <f>1+($B29-1)*(N$1-$B$1)^[1]PUE!$G29</f>
        <v>1.210972676201846</v>
      </c>
      <c r="O29" s="7">
        <f>1+($B29-1)*(O$1-$B$1)^[1]PUE!$G29</f>
        <v>1.2039879814943175</v>
      </c>
      <c r="P29" s="7">
        <f>1+($B29-1)*(P$1-$B$1)^[1]PUE!$G29</f>
        <v>1.1977274949863628</v>
      </c>
      <c r="Q29" s="7">
        <f>1+($B29-1)*(Q$1-$B$1)^[1]PUE!$G29</f>
        <v>1.1920719467556493</v>
      </c>
      <c r="R29" s="7">
        <f>1+($B29-1)*(R$1-$B$1)^[1]PUE!$G29</f>
        <v>1.1869280610113504</v>
      </c>
      <c r="S29" s="7">
        <f>1+($B29-1)*(S$1-$B$1)^[1]PUE!$G29</f>
        <v>1.1822216719873124</v>
      </c>
      <c r="T29" s="7">
        <f>1+($B29-1)*(T$1-$B$1)^[1]PUE!$G29</f>
        <v>1.1778929493551582</v>
      </c>
      <c r="U29" s="7">
        <f>1+($B29-1)*(U$1-$B$1)^[1]PUE!$G29</f>
        <v>1.1738930083463903</v>
      </c>
      <c r="V29" s="7">
        <f>1+($B29-1)*(V$1-$B$1)^[1]PUE!$G29</f>
        <v>1.170181453011282</v>
      </c>
      <c r="W29" s="7">
        <f>1+($B29-1)*(W$1-$B$1)^[1]PUE!$G29</f>
        <v>1.16672456303336</v>
      </c>
      <c r="X29" s="7">
        <f>1+($B29-1)*(X$1-$B$1)^[1]PUE!$G29</f>
        <v>1.1634939336022205</v>
      </c>
      <c r="Y29" s="7">
        <f>1+($B29-1)*(Y$1-$B$1)^[1]PUE!$G29</f>
        <v>1.1604654401520915</v>
      </c>
      <c r="Z29" s="7">
        <f>1+($B29-1)*(Z$1-$B$1)^[1]PUE!$G29</f>
        <v>1.1576184399288532</v>
      </c>
      <c r="AA29" s="7">
        <f>1+($B29-1)*(AA$1-$B$1)^[1]PUE!$G29</f>
        <v>1.1549351488071797</v>
      </c>
      <c r="AB29" s="7">
        <f>1+($B29-1)*(AB$1-$B$1)^[1]PUE!$G29</f>
        <v>1.1524001495653813</v>
      </c>
      <c r="AC29" s="7">
        <f>1+($B29-1)*(AC$1-$B$1)^[1]PUE!$G29</f>
        <v>1.1499999999999999</v>
      </c>
      <c r="AD29" s="8" t="s">
        <v>1</v>
      </c>
    </row>
    <row r="30" spans="1:30" ht="15" x14ac:dyDescent="0.25">
      <c r="A30" s="6" t="s">
        <v>21</v>
      </c>
      <c r="B30" s="7">
        <v>1.6</v>
      </c>
      <c r="C30" s="7">
        <f>1+($B30-1)*(C$1-$B$1)^[1]PUE!$G30</f>
        <v>1.6</v>
      </c>
      <c r="D30" s="7">
        <f>1+($B30-1)*(D$1-$B$1)^[1]PUE!$G30</f>
        <v>1.4482621430408931</v>
      </c>
      <c r="E30" s="7">
        <f>1+($B30-1)*(E$1-$B$1)^[1]PUE!$G30</f>
        <v>1.3779763149684618</v>
      </c>
      <c r="F30" s="7">
        <f>1+($B30-1)*(F$1-$B$1)^[1]PUE!$G30</f>
        <v>1.334898248139357</v>
      </c>
      <c r="G30" s="7">
        <f>1+($B30-1)*(G$1-$B$1)^[1]PUE!$G30</f>
        <v>1.3048952103334979</v>
      </c>
      <c r="H30" s="7">
        <f>1+($B30-1)*(H$1-$B$1)^[1]PUE!$G30</f>
        <v>1.2823874549441039</v>
      </c>
      <c r="I30" s="7">
        <f>1+($B30-1)*(I$1-$B$1)^[1]PUE!$G30</f>
        <v>1.2646587467480941</v>
      </c>
      <c r="J30" s="7">
        <f>1+($B30-1)*(J$1-$B$1)^[1]PUE!$G30</f>
        <v>1.2502036773526481</v>
      </c>
      <c r="K30" s="7">
        <f>1+($B30-1)*(K$1-$B$1)^[1]PUE!$G30</f>
        <v>1.2381101577952298</v>
      </c>
      <c r="L30" s="7">
        <f>1+($B30-1)*(L$1-$B$1)^[1]PUE!$G30</f>
        <v>1.2277883006449959</v>
      </c>
      <c r="M30" s="7">
        <f>1+($B30-1)*(M$1-$B$1)^[1]PUE!$G30</f>
        <v>1.2188370391839745</v>
      </c>
      <c r="N30" s="7">
        <f>1+($B30-1)*(N$1-$B$1)^[1]PUE!$G30</f>
        <v>1.210972676201846</v>
      </c>
      <c r="O30" s="7">
        <f>1+($B30-1)*(O$1-$B$1)^[1]PUE!$G30</f>
        <v>1.2039879814943175</v>
      </c>
      <c r="P30" s="7">
        <f>1+($B30-1)*(P$1-$B$1)^[1]PUE!$G30</f>
        <v>1.1977274949863628</v>
      </c>
      <c r="Q30" s="7">
        <f>1+($B30-1)*(Q$1-$B$1)^[1]PUE!$G30</f>
        <v>1.1920719467556493</v>
      </c>
      <c r="R30" s="7">
        <f>1+($B30-1)*(R$1-$B$1)^[1]PUE!$G30</f>
        <v>1.1869280610113504</v>
      </c>
      <c r="S30" s="7">
        <f>1+($B30-1)*(S$1-$B$1)^[1]PUE!$G30</f>
        <v>1.1822216719873124</v>
      </c>
      <c r="T30" s="7">
        <f>1+($B30-1)*(T$1-$B$1)^[1]PUE!$G30</f>
        <v>1.1778929493551582</v>
      </c>
      <c r="U30" s="7">
        <f>1+($B30-1)*(U$1-$B$1)^[1]PUE!$G30</f>
        <v>1.1738930083463903</v>
      </c>
      <c r="V30" s="7">
        <f>1+($B30-1)*(V$1-$B$1)^[1]PUE!$G30</f>
        <v>1.170181453011282</v>
      </c>
      <c r="W30" s="7">
        <f>1+($B30-1)*(W$1-$B$1)^[1]PUE!$G30</f>
        <v>1.16672456303336</v>
      </c>
      <c r="X30" s="7">
        <f>1+($B30-1)*(X$1-$B$1)^[1]PUE!$G30</f>
        <v>1.1634939336022205</v>
      </c>
      <c r="Y30" s="7">
        <f>1+($B30-1)*(Y$1-$B$1)^[1]PUE!$G30</f>
        <v>1.1604654401520915</v>
      </c>
      <c r="Z30" s="7">
        <f>1+($B30-1)*(Z$1-$B$1)^[1]PUE!$G30</f>
        <v>1.1576184399288532</v>
      </c>
      <c r="AA30" s="7">
        <f>1+($B30-1)*(AA$1-$B$1)^[1]PUE!$G30</f>
        <v>1.1549351488071797</v>
      </c>
      <c r="AB30" s="7">
        <f>1+($B30-1)*(AB$1-$B$1)^[1]PUE!$G30</f>
        <v>1.1524001495653813</v>
      </c>
      <c r="AC30" s="7">
        <f>1+($B30-1)*(AC$1-$B$1)^[1]PUE!$G30</f>
        <v>1.1499999999999999</v>
      </c>
      <c r="AD30" s="8" t="s">
        <v>1</v>
      </c>
    </row>
    <row r="31" spans="1:30" ht="15" x14ac:dyDescent="0.25">
      <c r="A31" s="2" t="s">
        <v>29</v>
      </c>
      <c r="B31" s="7">
        <v>1.6019052924791088</v>
      </c>
      <c r="C31" s="7">
        <f>1+($B31-1)*(C$1-$B$1)^[1]PUE!$G31</f>
        <v>1.6019052924791088</v>
      </c>
      <c r="D31" s="7">
        <f>1+($B31-1)*(D$1-$B$1)^[1]PUE!$G31</f>
        <v>1.4493858531605035</v>
      </c>
      <c r="E31" s="7">
        <f>1+($B31-1)*(E$1-$B$1)^[1]PUE!$G31</f>
        <v>1.3787760647755218</v>
      </c>
      <c r="F31" s="7">
        <f>1+($B31-1)*(F$1-$B$1)^[1]PUE!$G31</f>
        <v>1.3355139879050042</v>
      </c>
      <c r="G31" s="7">
        <f>1+($B31-1)*(G$1-$B$1)^[1]PUE!$G31</f>
        <v>1.3053902264028852</v>
      </c>
      <c r="H31" s="7">
        <f>1+($B31-1)*(H$1-$B$1)^[1]PUE!$G31</f>
        <v>1.2827963255229791</v>
      </c>
      <c r="I31" s="7">
        <f>1+($B31-1)*(I$1-$B$1)^[1]PUE!$G31</f>
        <v>1.2650026485996748</v>
      </c>
      <c r="J31" s="7">
        <f>1+($B31-1)*(J$1-$B$1)^[1]PUE!$G31</f>
        <v>1.2504966173016434</v>
      </c>
      <c r="K31" s="7">
        <f>1+($B31-1)*(K$1-$B$1)^[1]PUE!$G31</f>
        <v>1.238361930090206</v>
      </c>
      <c r="L31" s="7">
        <f>1+($B31-1)*(L$1-$B$1)^[1]PUE!$G31</f>
        <v>1.2280060487152189</v>
      </c>
      <c r="M31" s="7">
        <f>1+($B31-1)*(M$1-$B$1)^[1]PUE!$G31</f>
        <v>1.2190261483407641</v>
      </c>
      <c r="N31" s="7">
        <f>1+($B31-1)*(N$1-$B$1)^[1]PUE!$G31</f>
        <v>1.2111373161255437</v>
      </c>
      <c r="O31" s="7">
        <f>1+($B31-1)*(O$1-$B$1)^[1]PUE!$G31</f>
        <v>1.2041314524064108</v>
      </c>
      <c r="P31" s="7">
        <f>1+($B31-1)*(P$1-$B$1)^[1]PUE!$G31</f>
        <v>1.1978524575523504</v>
      </c>
      <c r="Q31" s="7">
        <f>1+($B31-1)*(Q$1-$B$1)^[1]PUE!$G31</f>
        <v>1.1921805799403324</v>
      </c>
      <c r="R31" s="7">
        <f>1+($B31-1)*(R$1-$B$1)^[1]PUE!$G31</f>
        <v>1.187022173565331</v>
      </c>
      <c r="S31" s="7">
        <f>1+($B31-1)*(S$1-$B$1)^[1]PUE!$G31</f>
        <v>1.1823027831141568</v>
      </c>
      <c r="T31" s="7">
        <f>1+($B31-1)*(T$1-$B$1)^[1]PUE!$G31</f>
        <v>1.177962348317928</v>
      </c>
      <c r="U31" s="7">
        <f>1+($B31-1)*(U$1-$B$1)^[1]PUE!$G31</f>
        <v>1.1739517993302919</v>
      </c>
      <c r="V31" s="7">
        <f>1+($B31-1)*(V$1-$B$1)^[1]PUE!$G31</f>
        <v>1.1702305894431064</v>
      </c>
      <c r="W31" s="7">
        <f>1+($B31-1)*(W$1-$B$1)^[1]PUE!$G31</f>
        <v>1.1667648742184125</v>
      </c>
      <c r="X31" s="7">
        <f>1+($B31-1)*(X$1-$B$1)^[1]PUE!$G31</f>
        <v>1.1635261456684889</v>
      </c>
      <c r="Y31" s="7">
        <f>1+($B31-1)*(Y$1-$B$1)^[1]PUE!$G31</f>
        <v>1.1604901927120088</v>
      </c>
      <c r="Z31" s="7">
        <f>1+($B31-1)*(Z$1-$B$1)^[1]PUE!$G31</f>
        <v>1.1576362994754521</v>
      </c>
      <c r="AA31" s="7">
        <f>1+($B31-1)*(AA$1-$B$1)^[1]PUE!$G31</f>
        <v>1.154946619589065</v>
      </c>
      <c r="AB31" s="7">
        <f>1+($B31-1)*(AB$1-$B$1)^[1]PUE!$G31</f>
        <v>1.1524056824931999</v>
      </c>
      <c r="AC31" s="7">
        <f>1+($B31-1)*(AC$1-$B$1)^[1]PUE!$G31</f>
        <v>1.1499999999999999</v>
      </c>
      <c r="AD31" s="8" t="s">
        <v>1</v>
      </c>
    </row>
    <row r="32" spans="1:30" ht="15" x14ac:dyDescent="0.25">
      <c r="A32" s="2" t="s">
        <v>33</v>
      </c>
      <c r="B32" s="7">
        <v>1.6</v>
      </c>
      <c r="C32" s="7">
        <f>1+($B32-1)*(C$1-$B$1)^[1]PUE!$G32</f>
        <v>1.6</v>
      </c>
      <c r="D32" s="7">
        <f>1+($B32-1)*(D$1-$B$1)^[1]PUE!$G32</f>
        <v>1.4482621430408931</v>
      </c>
      <c r="E32" s="7">
        <f>1+($B32-1)*(E$1-$B$1)^[1]PUE!$G32</f>
        <v>1.3779763149684618</v>
      </c>
      <c r="F32" s="7">
        <f>1+($B32-1)*(F$1-$B$1)^[1]PUE!$G32</f>
        <v>1.334898248139357</v>
      </c>
      <c r="G32" s="7">
        <f>1+($B32-1)*(G$1-$B$1)^[1]PUE!$G32</f>
        <v>1.3048952103334979</v>
      </c>
      <c r="H32" s="7">
        <f>1+($B32-1)*(H$1-$B$1)^[1]PUE!$G32</f>
        <v>1.2823874549441039</v>
      </c>
      <c r="I32" s="7">
        <f>1+($B32-1)*(I$1-$B$1)^[1]PUE!$G32</f>
        <v>1.2646587467480941</v>
      </c>
      <c r="J32" s="7">
        <f>1+($B32-1)*(J$1-$B$1)^[1]PUE!$G32</f>
        <v>1.2502036773526481</v>
      </c>
      <c r="K32" s="7">
        <f>1+($B32-1)*(K$1-$B$1)^[1]PUE!$G32</f>
        <v>1.2381101577952298</v>
      </c>
      <c r="L32" s="7">
        <f>1+($B32-1)*(L$1-$B$1)^[1]PUE!$G32</f>
        <v>1.2277883006449959</v>
      </c>
      <c r="M32" s="7">
        <f>1+($B32-1)*(M$1-$B$1)^[1]PUE!$G32</f>
        <v>1.2188370391839745</v>
      </c>
      <c r="N32" s="7">
        <f>1+($B32-1)*(N$1-$B$1)^[1]PUE!$G32</f>
        <v>1.210972676201846</v>
      </c>
      <c r="O32" s="7">
        <f>1+($B32-1)*(O$1-$B$1)^[1]PUE!$G32</f>
        <v>1.2039879814943175</v>
      </c>
      <c r="P32" s="7">
        <f>1+($B32-1)*(P$1-$B$1)^[1]PUE!$G32</f>
        <v>1.1977274949863628</v>
      </c>
      <c r="Q32" s="7">
        <f>1+($B32-1)*(Q$1-$B$1)^[1]PUE!$G32</f>
        <v>1.1920719467556493</v>
      </c>
      <c r="R32" s="7">
        <f>1+($B32-1)*(R$1-$B$1)^[1]PUE!$G32</f>
        <v>1.1869280610113504</v>
      </c>
      <c r="S32" s="7">
        <f>1+($B32-1)*(S$1-$B$1)^[1]PUE!$G32</f>
        <v>1.1822216719873124</v>
      </c>
      <c r="T32" s="7">
        <f>1+($B32-1)*(T$1-$B$1)^[1]PUE!$G32</f>
        <v>1.1778929493551582</v>
      </c>
      <c r="U32" s="7">
        <f>1+($B32-1)*(U$1-$B$1)^[1]PUE!$G32</f>
        <v>1.1738930083463903</v>
      </c>
      <c r="V32" s="7">
        <f>1+($B32-1)*(V$1-$B$1)^[1]PUE!$G32</f>
        <v>1.170181453011282</v>
      </c>
      <c r="W32" s="7">
        <f>1+($B32-1)*(W$1-$B$1)^[1]PUE!$G32</f>
        <v>1.16672456303336</v>
      </c>
      <c r="X32" s="7">
        <f>1+($B32-1)*(X$1-$B$1)^[1]PUE!$G32</f>
        <v>1.1634939336022205</v>
      </c>
      <c r="Y32" s="7">
        <f>1+($B32-1)*(Y$1-$B$1)^[1]PUE!$G32</f>
        <v>1.1604654401520915</v>
      </c>
      <c r="Z32" s="7">
        <f>1+($B32-1)*(Z$1-$B$1)^[1]PUE!$G32</f>
        <v>1.1576184399288532</v>
      </c>
      <c r="AA32" s="7">
        <f>1+($B32-1)*(AA$1-$B$1)^[1]PUE!$G32</f>
        <v>1.1549351488071797</v>
      </c>
      <c r="AB32" s="7">
        <f>1+($B32-1)*(AB$1-$B$1)^[1]PUE!$G32</f>
        <v>1.1524001495653813</v>
      </c>
      <c r="AC32" s="7">
        <f>1+($B32-1)*(AC$1-$B$1)^[1]PUE!$G32</f>
        <v>1.1499999999999999</v>
      </c>
      <c r="AD32" s="8" t="s">
        <v>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6FBF-7FFE-493C-B710-65F580F4F3FB}">
  <dimension ref="A1:AD32"/>
  <sheetViews>
    <sheetView zoomScale="115" zoomScaleNormal="115" workbookViewId="0">
      <selection activeCell="A2" sqref="A2:A32"/>
    </sheetView>
  </sheetViews>
  <sheetFormatPr defaultRowHeight="13.5" x14ac:dyDescent="0.15"/>
  <sheetData>
    <row r="1" spans="1:30" ht="15" x14ac:dyDescent="0.25">
      <c r="A1" s="5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1"/>
    </row>
    <row r="2" spans="1:30" ht="15" x14ac:dyDescent="0.25">
      <c r="A2" s="2" t="s">
        <v>4</v>
      </c>
      <c r="B2" s="7">
        <v>1.6047089996101904</v>
      </c>
      <c r="C2" s="7">
        <f>1+($B2-1)*(C$1-$B$1)^[1]PUE!$I2</f>
        <v>1.6047089996101904</v>
      </c>
      <c r="D2" s="7">
        <f>1+($B2-1)*(D$1-$B$1)^[1]PUE!$I2</f>
        <v>1.4141707897605325</v>
      </c>
      <c r="E2" s="7">
        <f>1+($B2-1)*(E$1-$B$1)^[1]PUE!$I2</f>
        <v>1.3319181144550591</v>
      </c>
      <c r="F2" s="7">
        <f>1+($B2-1)*(F$1-$B$1)^[1]PUE!$I2</f>
        <v>1.2836694066095267</v>
      </c>
      <c r="G2" s="7">
        <f>1+($B2-1)*(G$1-$B$1)^[1]PUE!$I2</f>
        <v>1.2511297451966865</v>
      </c>
      <c r="H2" s="7">
        <f>1+($B2-1)*(H$1-$B$1)^[1]PUE!$I2</f>
        <v>1.2273337881332931</v>
      </c>
      <c r="I2" s="7">
        <f>1+($B2-1)*(I$1-$B$1)^[1]PUE!$I2</f>
        <v>1.2089825486112793</v>
      </c>
      <c r="J2" s="7">
        <f>1+($B2-1)*(J$1-$B$1)^[1]PUE!$I2</f>
        <v>1.1942878016403005</v>
      </c>
      <c r="K2" s="7">
        <f>1+($B2-1)*(K$1-$B$1)^[1]PUE!$I2</f>
        <v>1.1821861999315699</v>
      </c>
      <c r="L2" s="7">
        <f>1+($B2-1)*(L$1-$B$1)^[1]PUE!$I2</f>
        <v>1.1720010864192869</v>
      </c>
      <c r="M2" s="7">
        <f>1+($B2-1)*(M$1-$B$1)^[1]PUE!$I2</f>
        <v>1.1632789327716426</v>
      </c>
      <c r="N2" s="7">
        <f>1+($B2-1)*(N$1-$B$1)^[1]PUE!$I2</f>
        <v>1.1557030152207328</v>
      </c>
      <c r="O2" s="7">
        <f>1+($B2-1)*(O$1-$B$1)^[1]PUE!$I2</f>
        <v>1.149044647070907</v>
      </c>
      <c r="P2" s="7">
        <f>1+($B2-1)*(P$1-$B$1)^[1]PUE!$I2</f>
        <v>1.1431340814512392</v>
      </c>
      <c r="Q2" s="7">
        <f>1+($B2-1)*(Q$1-$B$1)^[1]PUE!$I2</f>
        <v>1.1378423532029389</v>
      </c>
      <c r="R2" s="7">
        <f>1+($B2-1)*(R$1-$B$1)^[1]PUE!$I2</f>
        <v>1.133069513266832</v>
      </c>
      <c r="S2" s="7">
        <f>1+($B2-1)*(S$1-$B$1)^[1]PUE!$I2</f>
        <v>1.1287367575501484</v>
      </c>
      <c r="T2" s="7">
        <f>1+($B2-1)*(T$1-$B$1)^[1]PUE!$I2</f>
        <v>1.1247810142692922</v>
      </c>
      <c r="U2" s="7">
        <f>1+($B2-1)*(U$1-$B$1)^[1]PUE!$I2</f>
        <v>1.1211511316603981</v>
      </c>
      <c r="V2" s="7">
        <f>1+($B2-1)*(V$1-$B$1)^[1]PUE!$I2</f>
        <v>1.117805135772524</v>
      </c>
      <c r="W2" s="7">
        <f>1+($B2-1)*(W$1-$B$1)^[1]PUE!$I2</f>
        <v>1.114708220869514</v>
      </c>
      <c r="X2" s="7">
        <f>1+($B2-1)*(X$1-$B$1)^[1]PUE!$I2</f>
        <v>1.1118312520251576</v>
      </c>
      <c r="Y2" s="7">
        <f>1+($B2-1)*(Y$1-$B$1)^[1]PUE!$I2</f>
        <v>1.109149632587983</v>
      </c>
      <c r="Z2" s="7">
        <f>1+($B2-1)*(Z$1-$B$1)^[1]PUE!$I2</f>
        <v>1.1066424359876195</v>
      </c>
      <c r="AA2" s="7">
        <f>1+($B2-1)*(AA$1-$B$1)^[1]PUE!$I2</f>
        <v>1.1042917319954004</v>
      </c>
      <c r="AB2" s="7">
        <f>1+($B2-1)*(AB$1-$B$1)^[1]PUE!$I2</f>
        <v>1.1020820580258106</v>
      </c>
      <c r="AC2" s="7">
        <f>1+($B2-1)*(AC$1-$B$1)^[1]PUE!$I2</f>
        <v>1.1000000000000001</v>
      </c>
      <c r="AD2" s="8" t="s">
        <v>3</v>
      </c>
    </row>
    <row r="3" spans="1:30" ht="15" x14ac:dyDescent="0.25">
      <c r="A3" s="2" t="s">
        <v>28</v>
      </c>
      <c r="B3" s="7">
        <v>1.6072891297319769</v>
      </c>
      <c r="C3" s="7">
        <f>1+($B3-1)*(C$1-$B$1)^[1]PUE!$I3</f>
        <v>1.6072891297319769</v>
      </c>
      <c r="D3" s="7">
        <f>1+($B3-1)*(D$1-$B$1)^[1]PUE!$I3</f>
        <v>1.4155656694921879</v>
      </c>
      <c r="E3" s="7">
        <f>1+($B3-1)*(E$1-$B$1)^[1]PUE!$I3</f>
        <v>1.3328615810136213</v>
      </c>
      <c r="F3" s="7">
        <f>1+($B3-1)*(F$1-$B$1)^[1]PUE!$I3</f>
        <v>1.2843700260808359</v>
      </c>
      <c r="G3" s="7">
        <f>1+($B3-1)*(G$1-$B$1)^[1]PUE!$I3</f>
        <v>1.2516774369895556</v>
      </c>
      <c r="H3" s="7">
        <f>1+($B3-1)*(H$1-$B$1)^[1]PUE!$I3</f>
        <v>1.2277759291084345</v>
      </c>
      <c r="I3" s="7">
        <f>1+($B3-1)*(I$1-$B$1)^[1]PUE!$I3</f>
        <v>1.2093473055398125</v>
      </c>
      <c r="J3" s="7">
        <f>1+($B3-1)*(J$1-$B$1)^[1]PUE!$I3</f>
        <v>1.1945933402824929</v>
      </c>
      <c r="K3" s="7">
        <f>1+($B3-1)*(K$1-$B$1)^[1]PUE!$I3</f>
        <v>1.1824449453982273</v>
      </c>
      <c r="L3" s="7">
        <f>1+($B3-1)*(L$1-$B$1)^[1]PUE!$I3</f>
        <v>1.1722219244148204</v>
      </c>
      <c r="M3" s="7">
        <f>1+($B3-1)*(M$1-$B$1)^[1]PUE!$I3</f>
        <v>1.1634684439176342</v>
      </c>
      <c r="N3" s="7">
        <f>1+($B3-1)*(N$1-$B$1)^[1]PUE!$I3</f>
        <v>1.1558662123854044</v>
      </c>
      <c r="O3" s="7">
        <f>1+($B3-1)*(O$1-$B$1)^[1]PUE!$I3</f>
        <v>1.1491854386139591</v>
      </c>
      <c r="P3" s="7">
        <f>1+($B3-1)*(P$1-$B$1)^[1]PUE!$I3</f>
        <v>1.1432555745258171</v>
      </c>
      <c r="Q3" s="7">
        <f>1+($B3-1)*(Q$1-$B$1)^[1]PUE!$I3</f>
        <v>1.1379470592842202</v>
      </c>
      <c r="R3" s="7">
        <f>1+($B3-1)*(R$1-$B$1)^[1]PUE!$I3</f>
        <v>1.1331594915405536</v>
      </c>
      <c r="S3" s="7">
        <f>1+($B3-1)*(S$1-$B$1)^[1]PUE!$I3</f>
        <v>1.1288137174796309</v>
      </c>
      <c r="T3" s="7">
        <f>1+($B3-1)*(T$1-$B$1)^[1]PUE!$I3</f>
        <v>1.1248463905707349</v>
      </c>
      <c r="U3" s="7">
        <f>1+($B3-1)*(U$1-$B$1)^[1]PUE!$I3</f>
        <v>1.1212061401602433</v>
      </c>
      <c r="V3" s="7">
        <f>1+($B3-1)*(V$1-$B$1)^[1]PUE!$I3</f>
        <v>1.1178508157263816</v>
      </c>
      <c r="W3" s="7">
        <f>1+($B3-1)*(W$1-$B$1)^[1]PUE!$I3</f>
        <v>1.1147454675068498</v>
      </c>
      <c r="X3" s="7">
        <f>1+($B3-1)*(X$1-$B$1)^[1]PUE!$I3</f>
        <v>1.111860841914722</v>
      </c>
      <c r="Y3" s="7">
        <f>1+($B3-1)*(Y$1-$B$1)^[1]PUE!$I3</f>
        <v>1.1091722436477933</v>
      </c>
      <c r="Z3" s="7">
        <f>1+($B3-1)*(Z$1-$B$1)^[1]PUE!$I3</f>
        <v>1.1066586634437852</v>
      </c>
      <c r="AA3" s="7">
        <f>1+($B3-1)*(AA$1-$B$1)^[1]PUE!$I3</f>
        <v>1.1043021012373251</v>
      </c>
      <c r="AB3" s="7">
        <f>1+($B3-1)*(AB$1-$B$1)^[1]PUE!$I3</f>
        <v>1.1020870350560321</v>
      </c>
      <c r="AC3" s="7">
        <f>1+($B3-1)*(AC$1-$B$1)^[1]PUE!$I3</f>
        <v>1.1000000000000001</v>
      </c>
      <c r="AD3" s="8" t="s">
        <v>3</v>
      </c>
    </row>
    <row r="4" spans="1:30" ht="15" x14ac:dyDescent="0.25">
      <c r="A4" s="2" t="s">
        <v>12</v>
      </c>
      <c r="B4" s="7">
        <v>1.6027058899512794</v>
      </c>
      <c r="C4" s="7">
        <f>1+($B4-1)*(C$1-$B$1)^[1]PUE!$I4</f>
        <v>1.6027058899512794</v>
      </c>
      <c r="D4" s="7">
        <f>1+($B4-1)*(D$1-$B$1)^[1]PUE!$I4</f>
        <v>1.4130869978732452</v>
      </c>
      <c r="E4" s="7">
        <f>1+($B4-1)*(E$1-$B$1)^[1]PUE!$I4</f>
        <v>1.3311847192873587</v>
      </c>
      <c r="F4" s="7">
        <f>1+($B4-1)*(F$1-$B$1)^[1]PUE!$I4</f>
        <v>1.2831246063079367</v>
      </c>
      <c r="G4" s="7">
        <f>1+($B4-1)*(G$1-$B$1)^[1]PUE!$I4</f>
        <v>1.2507037519093558</v>
      </c>
      <c r="H4" s="7">
        <f>1+($B4-1)*(H$1-$B$1)^[1]PUE!$I4</f>
        <v>1.2269898199318536</v>
      </c>
      <c r="I4" s="7">
        <f>1+($B4-1)*(I$1-$B$1)^[1]PUE!$I4</f>
        <v>1.2086987318586908</v>
      </c>
      <c r="J4" s="7">
        <f>1+($B4-1)*(J$1-$B$1)^[1]PUE!$I4</f>
        <v>1.1940500260471061</v>
      </c>
      <c r="K4" s="7">
        <f>1+($B4-1)*(K$1-$B$1)^[1]PUE!$I4</f>
        <v>1.1819848123573391</v>
      </c>
      <c r="L4" s="7">
        <f>1+($B4-1)*(L$1-$B$1)^[1]PUE!$I4</f>
        <v>1.1718291822901652</v>
      </c>
      <c r="M4" s="7">
        <f>1+($B4-1)*(M$1-$B$1)^[1]PUE!$I4</f>
        <v>1.1631313978454729</v>
      </c>
      <c r="N4" s="7">
        <f>1+($B4-1)*(N$1-$B$1)^[1]PUE!$I4</f>
        <v>1.1555759530921752</v>
      </c>
      <c r="O4" s="7">
        <f>1+($B4-1)*(O$1-$B$1)^[1]PUE!$I4</f>
        <v>1.1489350194375225</v>
      </c>
      <c r="P4" s="7">
        <f>1+($B4-1)*(P$1-$B$1)^[1]PUE!$I4</f>
        <v>1.1430394725534023</v>
      </c>
      <c r="Q4" s="7">
        <f>1+($B4-1)*(Q$1-$B$1)^[1]PUE!$I4</f>
        <v>1.1377608101807324</v>
      </c>
      <c r="R4" s="7">
        <f>1+($B4-1)*(R$1-$B$1)^[1]PUE!$I4</f>
        <v>1.132999434771583</v>
      </c>
      <c r="S4" s="7">
        <f>1+($B4-1)*(S$1-$B$1)^[1]PUE!$I4</f>
        <v>1.128676814059093</v>
      </c>
      <c r="T4" s="7">
        <f>1+($B4-1)*(T$1-$B$1)^[1]PUE!$I4</f>
        <v>1.1247300898308725</v>
      </c>
      <c r="U4" s="7">
        <f>1+($B4-1)*(U$1-$B$1)^[1]PUE!$I4</f>
        <v>1.1211082804899244</v>
      </c>
      <c r="V4" s="7">
        <f>1+($B4-1)*(V$1-$B$1)^[1]PUE!$I4</f>
        <v>1.1177695493651085</v>
      </c>
      <c r="W4" s="7">
        <f>1+($B4-1)*(W$1-$B$1)^[1]PUE!$I4</f>
        <v>1.1146792027067058</v>
      </c>
      <c r="X4" s="7">
        <f>1+($B4-1)*(X$1-$B$1)^[1]PUE!$I4</f>
        <v>1.1118081978596555</v>
      </c>
      <c r="Y4" s="7">
        <f>1+($B4-1)*(Y$1-$B$1)^[1]PUE!$I4</f>
        <v>1.1091320148896928</v>
      </c>
      <c r="Z4" s="7">
        <f>1+($B4-1)*(Z$1-$B$1)^[1]PUE!$I4</f>
        <v>1.1066297915378105</v>
      </c>
      <c r="AA4" s="7">
        <f>1+($B4-1)*(AA$1-$B$1)^[1]PUE!$I4</f>
        <v>1.1042836518928139</v>
      </c>
      <c r="AB4" s="7">
        <f>1+($B4-1)*(AB$1-$B$1)^[1]PUE!$I4</f>
        <v>1.1020781795621957</v>
      </c>
      <c r="AC4" s="7">
        <f>1+($B4-1)*(AC$1-$B$1)^[1]PUE!$I4</f>
        <v>1.1000000000000001</v>
      </c>
      <c r="AD4" s="8" t="s">
        <v>3</v>
      </c>
    </row>
    <row r="5" spans="1:30" ht="15" x14ac:dyDescent="0.25">
      <c r="A5" s="2" t="s">
        <v>26</v>
      </c>
      <c r="B5" s="7">
        <v>1.6234287658657944</v>
      </c>
      <c r="C5" s="7">
        <f>1+($B5-1)*(C$1-$B$1)^[1]PUE!$I5</f>
        <v>1.6234287658657944</v>
      </c>
      <c r="D5" s="7">
        <f>1+($B5-1)*(D$1-$B$1)^[1]PUE!$I5</f>
        <v>1.4242631214309753</v>
      </c>
      <c r="E5" s="7">
        <f>1+($B5-1)*(E$1-$B$1)^[1]PUE!$I5</f>
        <v>1.3387332987911353</v>
      </c>
      <c r="F5" s="7">
        <f>1+($B5-1)*(F$1-$B$1)^[1]PUE!$I5</f>
        <v>1.2887245601450203</v>
      </c>
      <c r="G5" s="7">
        <f>1+($B5-1)*(G$1-$B$1)^[1]PUE!$I5</f>
        <v>1.2550779669724712</v>
      </c>
      <c r="H5" s="7">
        <f>1+($B5-1)*(H$1-$B$1)^[1]PUE!$I5</f>
        <v>1.2305187930783983</v>
      </c>
      <c r="I5" s="7">
        <f>1+($B5-1)*(I$1-$B$1)^[1]PUE!$I5</f>
        <v>1.2116084948743391</v>
      </c>
      <c r="J5" s="7">
        <f>1+($B5-1)*(J$1-$B$1)^[1]PUE!$I5</f>
        <v>1.1964862544492874</v>
      </c>
      <c r="K5" s="7">
        <f>1+($B5-1)*(K$1-$B$1)^[1]PUE!$I5</f>
        <v>1.1840470860380941</v>
      </c>
      <c r="L5" s="7">
        <f>1+($B5-1)*(L$1-$B$1)^[1]PUE!$I5</f>
        <v>1.1735886766882111</v>
      </c>
      <c r="M5" s="7">
        <f>1+($B5-1)*(M$1-$B$1)^[1]PUE!$I5</f>
        <v>1.1646407988628944</v>
      </c>
      <c r="N5" s="7">
        <f>1+($B5-1)*(N$1-$B$1)^[1]PUE!$I5</f>
        <v>1.156875377035451</v>
      </c>
      <c r="O5" s="7">
        <f>1+($B5-1)*(O$1-$B$1)^[1]PUE!$I5</f>
        <v>1.1500557307771522</v>
      </c>
      <c r="P5" s="7">
        <f>1+($B5-1)*(P$1-$B$1)^[1]PUE!$I5</f>
        <v>1.1440063171163073</v>
      </c>
      <c r="Q5" s="7">
        <f>1+($B5-1)*(Q$1-$B$1)^[1]PUE!$I5</f>
        <v>1.1385938633767205</v>
      </c>
      <c r="R5" s="7">
        <f>1+($B5-1)*(R$1-$B$1)^[1]PUE!$I5</f>
        <v>1.1337151511049794</v>
      </c>
      <c r="S5" s="7">
        <f>1+($B5-1)*(S$1-$B$1)^[1]PUE!$I5</f>
        <v>1.1292888491260078</v>
      </c>
      <c r="T5" s="7">
        <f>1+($B5-1)*(T$1-$B$1)^[1]PUE!$I5</f>
        <v>1.1252499010121171</v>
      </c>
      <c r="U5" s="7">
        <f>1+($B5-1)*(U$1-$B$1)^[1]PUE!$I5</f>
        <v>1.1215455743485312</v>
      </c>
      <c r="V5" s="7">
        <f>1+($B5-1)*(V$1-$B$1)^[1]PUE!$I5</f>
        <v>1.1181326205160493</v>
      </c>
      <c r="W5" s="7">
        <f>1+($B5-1)*(W$1-$B$1)^[1]PUE!$I5</f>
        <v>1.1149751943535475</v>
      </c>
      <c r="X5" s="7">
        <f>1+($B5-1)*(X$1-$B$1)^[1]PUE!$I5</f>
        <v>1.1120433048087772</v>
      </c>
      <c r="Y5" s="7">
        <f>1+($B5-1)*(Y$1-$B$1)^[1]PUE!$I5</f>
        <v>1.1093116436648922</v>
      </c>
      <c r="Z5" s="7">
        <f>1+($B5-1)*(Z$1-$B$1)^[1]PUE!$I5</f>
        <v>1.106758688050415</v>
      </c>
      <c r="AA5" s="7">
        <f>1+($B5-1)*(AA$1-$B$1)^[1]PUE!$I5</f>
        <v>1.1043660042610477</v>
      </c>
      <c r="AB5" s="7">
        <f>1+($B5-1)*(AB$1-$B$1)^[1]PUE!$I5</f>
        <v>1.1021177016747177</v>
      </c>
      <c r="AC5" s="7">
        <f>1+($B5-1)*(AC$1-$B$1)^[1]PUE!$I5</f>
        <v>1.1000000000000001</v>
      </c>
      <c r="AD5" s="8" t="s">
        <v>3</v>
      </c>
    </row>
    <row r="6" spans="1:30" ht="15" x14ac:dyDescent="0.25">
      <c r="A6" s="2" t="s">
        <v>32</v>
      </c>
      <c r="B6" s="7">
        <v>1.6000000000000003</v>
      </c>
      <c r="C6" s="7">
        <f>1+($B6-1)*(C$1-$B$1)^[1]PUE!$I6</f>
        <v>1.6000000000000003</v>
      </c>
      <c r="D6" s="7">
        <f>1+($B6-1)*(D$1-$B$1)^[1]PUE!$I6</f>
        <v>1.4116217595881717</v>
      </c>
      <c r="E6" s="7">
        <f>1+($B6-1)*(E$1-$B$1)^[1]PUE!$I6</f>
        <v>1.3301927248894629</v>
      </c>
      <c r="F6" s="7">
        <f>1+($B6-1)*(F$1-$B$1)^[1]PUE!$I6</f>
        <v>1.2823874549441041</v>
      </c>
      <c r="G6" s="7">
        <f>1+($B6-1)*(G$1-$B$1)^[1]PUE!$I6</f>
        <v>1.2501272018619041</v>
      </c>
      <c r="H6" s="7">
        <f>1+($B6-1)*(H$1-$B$1)^[1]PUE!$I6</f>
        <v>1.2265241840370229</v>
      </c>
      <c r="I6" s="7">
        <f>1+($B6-1)*(I$1-$B$1)^[1]PUE!$I6</f>
        <v>1.2083144538119286</v>
      </c>
      <c r="J6" s="7">
        <f>1+($B6-1)*(J$1-$B$1)^[1]PUE!$I6</f>
        <v>1.1937280351495294</v>
      </c>
      <c r="K6" s="7">
        <f>1+($B6-1)*(K$1-$B$1)^[1]PUE!$I6</f>
        <v>1.1817120592832142</v>
      </c>
      <c r="L6" s="7">
        <f>1+($B6-1)*(L$1-$B$1)^[1]PUE!$I6</f>
        <v>1.1715963315854379</v>
      </c>
      <c r="M6" s="7">
        <f>1+($B6-1)*(M$1-$B$1)^[1]PUE!$I6</f>
        <v>1.16293153356676</v>
      </c>
      <c r="N6" s="7">
        <f>1+($B6-1)*(N$1-$B$1)^[1]PUE!$I6</f>
        <v>1.1554038053709903</v>
      </c>
      <c r="O6" s="7">
        <f>1+($B6-1)*(O$1-$B$1)^[1]PUE!$I6</f>
        <v>1.1487864784125839</v>
      </c>
      <c r="P6" s="7">
        <f>1+($B6-1)*(P$1-$B$1)^[1]PUE!$I6</f>
        <v>1.1429112700428581</v>
      </c>
      <c r="Q6" s="7">
        <f>1+($B6-1)*(Q$1-$B$1)^[1]PUE!$I6</f>
        <v>1.137650303919598</v>
      </c>
      <c r="R6" s="7">
        <f>1+($B6-1)*(R$1-$B$1)^[1]PUE!$I6</f>
        <v>1.1329044578496807</v>
      </c>
      <c r="S6" s="7">
        <f>1+($B6-1)*(S$1-$B$1)^[1]PUE!$I6</f>
        <v>1.1285955672001462</v>
      </c>
      <c r="T6" s="7">
        <f>1+($B6-1)*(T$1-$B$1)^[1]PUE!$I6</f>
        <v>1.1246610626342446</v>
      </c>
      <c r="U6" s="7">
        <f>1+($B6-1)*(U$1-$B$1)^[1]PUE!$I6</f>
        <v>1.1210501927439578</v>
      </c>
      <c r="V6" s="7">
        <f>1+($B6-1)*(V$1-$B$1)^[1]PUE!$I6</f>
        <v>1.1177213065767888</v>
      </c>
      <c r="W6" s="7">
        <f>1+($B6-1)*(W$1-$B$1)^[1]PUE!$I6</f>
        <v>1.1146398618967013</v>
      </c>
      <c r="X6" s="7">
        <f>1+($B6-1)*(X$1-$B$1)^[1]PUE!$I6</f>
        <v>1.1117769408985816</v>
      </c>
      <c r="Y6" s="7">
        <f>1+($B6-1)*(Y$1-$B$1)^[1]PUE!$I6</f>
        <v>1.1091081274606962</v>
      </c>
      <c r="Z6" s="7">
        <f>1+($B6-1)*(Z$1-$B$1)^[1]PUE!$I6</f>
        <v>1.1066126463558412</v>
      </c>
      <c r="AA6" s="7">
        <f>1+($B6-1)*(AA$1-$B$1)^[1]PUE!$I6</f>
        <v>1.1042726951854429</v>
      </c>
      <c r="AB6" s="7">
        <f>1+($B6-1)*(AB$1-$B$1)^[1]PUE!$I6</f>
        <v>1.1020729200785255</v>
      </c>
      <c r="AC6" s="7">
        <f>1+($B6-1)*(AC$1-$B$1)^[1]PUE!$I6</f>
        <v>1.1000000000000001</v>
      </c>
      <c r="AD6" s="8" t="s">
        <v>3</v>
      </c>
    </row>
    <row r="7" spans="1:30" ht="15" x14ac:dyDescent="0.25">
      <c r="A7" s="2" t="s">
        <v>20</v>
      </c>
      <c r="B7" s="7">
        <v>1.6160720611742341</v>
      </c>
      <c r="C7" s="7">
        <f>1+($B7-1)*(C$1-$B$1)^[1]PUE!$I7</f>
        <v>1.6160720611742341</v>
      </c>
      <c r="D7" s="7">
        <f>1+($B7-1)*(D$1-$B$1)^[1]PUE!$I7</f>
        <v>1.4203046309906284</v>
      </c>
      <c r="E7" s="7">
        <f>1+($B7-1)*(E$1-$B$1)^[1]PUE!$I7</f>
        <v>1.3360632393957834</v>
      </c>
      <c r="F7" s="7">
        <f>1+($B7-1)*(F$1-$B$1)^[1]PUE!$I7</f>
        <v>1.2867456487078179</v>
      </c>
      <c r="G7" s="7">
        <f>1+($B7-1)*(G$1-$B$1)^[1]PUE!$I7</f>
        <v>1.2535333496443786</v>
      </c>
      <c r="H7" s="7">
        <f>1+($B7-1)*(H$1-$B$1)^[1]PUE!$I7</f>
        <v>1.2292733995346896</v>
      </c>
      <c r="I7" s="7">
        <f>1+($B7-1)*(I$1-$B$1)^[1]PUE!$I7</f>
        <v>1.2105821487743105</v>
      </c>
      <c r="J7" s="7">
        <f>1+($B7-1)*(J$1-$B$1)^[1]PUE!$I7</f>
        <v>1.1956273164515778</v>
      </c>
      <c r="K7" s="7">
        <f>1+($B7-1)*(K$1-$B$1)^[1]PUE!$I7</f>
        <v>1.1833202769460551</v>
      </c>
      <c r="L7" s="7">
        <f>1+($B7-1)*(L$1-$B$1)^[1]PUE!$I7</f>
        <v>1.1729687932333639</v>
      </c>
      <c r="M7" s="7">
        <f>1+($B7-1)*(M$1-$B$1)^[1]PUE!$I7</f>
        <v>1.1641091934964694</v>
      </c>
      <c r="N7" s="7">
        <f>1+($B7-1)*(N$1-$B$1)^[1]PUE!$I7</f>
        <v>1.1564178570340025</v>
      </c>
      <c r="O7" s="7">
        <f>1+($B7-1)*(O$1-$B$1)^[1]PUE!$I7</f>
        <v>1.1496612393978856</v>
      </c>
      <c r="P7" s="7">
        <f>1+($B7-1)*(P$1-$B$1)^[1]PUE!$I7</f>
        <v>1.143666070759811</v>
      </c>
      <c r="Q7" s="7">
        <f>1+($B7-1)*(Q$1-$B$1)^[1]PUE!$I7</f>
        <v>1.1383007673062728</v>
      </c>
      <c r="R7" s="7">
        <f>1+($B7-1)*(R$1-$B$1)^[1]PUE!$I7</f>
        <v>1.1334633920846047</v>
      </c>
      <c r="S7" s="7">
        <f>1+($B7-1)*(S$1-$B$1)^[1]PUE!$I7</f>
        <v>1.1290736042088985</v>
      </c>
      <c r="T7" s="7">
        <f>1+($B7-1)*(T$1-$B$1)^[1]PUE!$I7</f>
        <v>1.125067124790651</v>
      </c>
      <c r="U7" s="7">
        <f>1+($B7-1)*(U$1-$B$1)^[1]PUE!$I7</f>
        <v>1.1213918405393866</v>
      </c>
      <c r="V7" s="7">
        <f>1+($B7-1)*(V$1-$B$1)^[1]PUE!$I7</f>
        <v>1.1180050020029764</v>
      </c>
      <c r="W7" s="7">
        <f>1+($B7-1)*(W$1-$B$1)^[1]PUE!$I7</f>
        <v>1.1148711709814172</v>
      </c>
      <c r="X7" s="7">
        <f>1+($B7-1)*(X$1-$B$1)^[1]PUE!$I7</f>
        <v>1.1119606915516265</v>
      </c>
      <c r="Y7" s="7">
        <f>1+($B7-1)*(Y$1-$B$1)^[1]PUE!$I7</f>
        <v>1.1092485339853679</v>
      </c>
      <c r="Z7" s="7">
        <f>1+($B7-1)*(Z$1-$B$1)^[1]PUE!$I7</f>
        <v>1.1067134087459098</v>
      </c>
      <c r="AA7" s="7">
        <f>1+($B7-1)*(AA$1-$B$1)^[1]PUE!$I7</f>
        <v>1.1043370791062697</v>
      </c>
      <c r="AB7" s="7">
        <f>1+($B7-1)*(AB$1-$B$1)^[1]PUE!$I7</f>
        <v>1.1021038218789447</v>
      </c>
      <c r="AC7" s="7">
        <f>1+($B7-1)*(AC$1-$B$1)^[1]PUE!$I7</f>
        <v>1.1000000000000001</v>
      </c>
      <c r="AD7" s="8" t="s">
        <v>3</v>
      </c>
    </row>
    <row r="8" spans="1:30" ht="15" x14ac:dyDescent="0.25">
      <c r="A8" s="2" t="s">
        <v>19</v>
      </c>
      <c r="B8" s="7">
        <v>1.607209942130728</v>
      </c>
      <c r="C8" s="7">
        <f>1+($B8-1)*(C$1-$B$1)^[1]PUE!$I8</f>
        <v>1.607209942130728</v>
      </c>
      <c r="D8" s="7">
        <f>1+($B8-1)*(D$1-$B$1)^[1]PUE!$I8</f>
        <v>1.4155228773545718</v>
      </c>
      <c r="E8" s="7">
        <f>1+($B8-1)*(E$1-$B$1)^[1]PUE!$I8</f>
        <v>1.3328326446781062</v>
      </c>
      <c r="F8" s="7">
        <f>1+($B8-1)*(F$1-$B$1)^[1]PUE!$I8</f>
        <v>1.2843485417896043</v>
      </c>
      <c r="G8" s="7">
        <f>1+($B8-1)*(G$1-$B$1)^[1]PUE!$I8</f>
        <v>1.2516606445262894</v>
      </c>
      <c r="H8" s="7">
        <f>1+($B8-1)*(H$1-$B$1)^[1]PUE!$I8</f>
        <v>1.2277623744250281</v>
      </c>
      <c r="I8" s="7">
        <f>1+($B8-1)*(I$1-$B$1)^[1]PUE!$I8</f>
        <v>1.2093361242923475</v>
      </c>
      <c r="J8" s="7">
        <f>1+($B8-1)*(J$1-$B$1)^[1]PUE!$I8</f>
        <v>1.1945839750933387</v>
      </c>
      <c r="K8" s="7">
        <f>1+($B8-1)*(K$1-$B$1)^[1]PUE!$I8</f>
        <v>1.1824370150704364</v>
      </c>
      <c r="L8" s="7">
        <f>1+($B8-1)*(L$1-$B$1)^[1]PUE!$I8</f>
        <v>1.1722151563650725</v>
      </c>
      <c r="M8" s="7">
        <f>1+($B8-1)*(M$1-$B$1)^[1]PUE!$I8</f>
        <v>1.1634626362922904</v>
      </c>
      <c r="N8" s="7">
        <f>1+($B8-1)*(N$1-$B$1)^[1]PUE!$I8</f>
        <v>1.1558612114322422</v>
      </c>
      <c r="O8" s="7">
        <f>1+($B8-1)*(O$1-$B$1)^[1]PUE!$I8</f>
        <v>1.1491811244665064</v>
      </c>
      <c r="P8" s="7">
        <f>1+($B8-1)*(P$1-$B$1)^[1]PUE!$I8</f>
        <v>1.1432518518965282</v>
      </c>
      <c r="Q8" s="7">
        <f>1+($B8-1)*(Q$1-$B$1)^[1]PUE!$I8</f>
        <v>1.1379438511582352</v>
      </c>
      <c r="R8" s="7">
        <f>1+($B8-1)*(R$1-$B$1)^[1]PUE!$I8</f>
        <v>1.1331567347763669</v>
      </c>
      <c r="S8" s="7">
        <f>1+($B8-1)*(S$1-$B$1)^[1]PUE!$I8</f>
        <v>1.1288113596623903</v>
      </c>
      <c r="T8" s="7">
        <f>1+($B8-1)*(T$1-$B$1)^[1]PUE!$I8</f>
        <v>1.1248443877121606</v>
      </c>
      <c r="U8" s="7">
        <f>1+($B8-1)*(U$1-$B$1)^[1]PUE!$I8</f>
        <v>1.1212044549851297</v>
      </c>
      <c r="V8" s="7">
        <f>1+($B8-1)*(V$1-$B$1)^[1]PUE!$I8</f>
        <v>1.1178494163744708</v>
      </c>
      <c r="W8" s="7">
        <f>1+($B8-1)*(W$1-$B$1)^[1]PUE!$I8</f>
        <v>1.114744326534572</v>
      </c>
      <c r="X8" s="7">
        <f>1+($B8-1)*(X$1-$B$1)^[1]PUE!$I8</f>
        <v>1.1118599355171841</v>
      </c>
      <c r="Y8" s="7">
        <f>1+($B8-1)*(Y$1-$B$1)^[1]PUE!$I8</f>
        <v>1.1091715510450546</v>
      </c>
      <c r="Z8" s="7">
        <f>1+($B8-1)*(Z$1-$B$1)^[1]PUE!$I8</f>
        <v>1.106658166391405</v>
      </c>
      <c r="AA8" s="7">
        <f>1+($B8-1)*(AA$1-$B$1)^[1]PUE!$I8</f>
        <v>1.1043017836321136</v>
      </c>
      <c r="AB8" s="7">
        <f>1+($B8-1)*(AB$1-$B$1)^[1]PUE!$I8</f>
        <v>1.102086882615581</v>
      </c>
      <c r="AC8" s="7">
        <f>1+($B8-1)*(AC$1-$B$1)^[1]PUE!$I8</f>
        <v>1.1000000000000001</v>
      </c>
      <c r="AD8" s="8" t="s">
        <v>3</v>
      </c>
    </row>
    <row r="9" spans="1:30" ht="15" x14ac:dyDescent="0.25">
      <c r="A9" s="2" t="s">
        <v>13</v>
      </c>
      <c r="B9" s="7">
        <v>1.611419267825295</v>
      </c>
      <c r="C9" s="7">
        <f>1+($B9-1)*(C$1-$B$1)^[1]PUE!$I9</f>
        <v>1.611419267825295</v>
      </c>
      <c r="D9" s="7">
        <f>1+($B9-1)*(D$1-$B$1)^[1]PUE!$I9</f>
        <v>1.4177959298406386</v>
      </c>
      <c r="E9" s="7">
        <f>1+($B9-1)*(E$1-$B$1)^[1]PUE!$I9</f>
        <v>1.3343690570387108</v>
      </c>
      <c r="F9" s="7">
        <f>1+($B9-1)*(F$1-$B$1)^[1]PUE!$I9</f>
        <v>1.285488940530543</v>
      </c>
      <c r="G9" s="7">
        <f>1+($B9-1)*(G$1-$B$1)^[1]PUE!$I9</f>
        <v>1.2525517936682948</v>
      </c>
      <c r="H9" s="7">
        <f>1+($B9-1)*(H$1-$B$1)^[1]PUE!$I9</f>
        <v>1.2284815648553336</v>
      </c>
      <c r="I9" s="7">
        <f>1+($B9-1)*(I$1-$B$1)^[1]PUE!$I9</f>
        <v>1.2099292898255736</v>
      </c>
      <c r="J9" s="7">
        <f>1+($B9-1)*(J$1-$B$1)^[1]PUE!$I9</f>
        <v>1.1950807304330138</v>
      </c>
      <c r="K9" s="7">
        <f>1+($B9-1)*(K$1-$B$1)^[1]PUE!$I9</f>
        <v>1.1828576104619961</v>
      </c>
      <c r="L9" s="7">
        <f>1+($B9-1)*(L$1-$B$1)^[1]PUE!$I9</f>
        <v>1.1725740699076495</v>
      </c>
      <c r="M9" s="7">
        <f>1+($B9-1)*(M$1-$B$1)^[1]PUE!$I9</f>
        <v>1.1637705877884694</v>
      </c>
      <c r="N9" s="7">
        <f>1+($B9-1)*(N$1-$B$1)^[1]PUE!$I9</f>
        <v>1.1561263651041078</v>
      </c>
      <c r="O9" s="7">
        <f>1+($B9-1)*(O$1-$B$1)^[1]PUE!$I9</f>
        <v>1.1494098444384995</v>
      </c>
      <c r="P9" s="7">
        <f>1+($B9-1)*(P$1-$B$1)^[1]PUE!$I9</f>
        <v>1.1434491967441918</v>
      </c>
      <c r="Q9" s="7">
        <f>1+($B9-1)*(Q$1-$B$1)^[1]PUE!$I9</f>
        <v>1.1381139089755214</v>
      </c>
      <c r="R9" s="7">
        <f>1+($B9-1)*(R$1-$B$1)^[1]PUE!$I9</f>
        <v>1.1333028569007095</v>
      </c>
      <c r="S9" s="7">
        <f>1+($B9-1)*(S$1-$B$1)^[1]PUE!$I9</f>
        <v>1.1289363278353877</v>
      </c>
      <c r="T9" s="7">
        <f>1+($B9-1)*(T$1-$B$1)^[1]PUE!$I9</f>
        <v>1.124950536254995</v>
      </c>
      <c r="U9" s="7">
        <f>1+($B9-1)*(U$1-$B$1)^[1]PUE!$I9</f>
        <v>1.1212937618084891</v>
      </c>
      <c r="V9" s="7">
        <f>1+($B9-1)*(V$1-$B$1)^[1]PUE!$I9</f>
        <v>1.1179235719212754</v>
      </c>
      <c r="W9" s="7">
        <f>1+($B9-1)*(W$1-$B$1)^[1]PUE!$I9</f>
        <v>1.1148047867929478</v>
      </c>
      <c r="X9" s="7">
        <f>1+($B9-1)*(X$1-$B$1)^[1]PUE!$I9</f>
        <v>1.1119079633342244</v>
      </c>
      <c r="Y9" s="7">
        <f>1+($B9-1)*(Y$1-$B$1)^[1]PUE!$I9</f>
        <v>1.1092082487143839</v>
      </c>
      <c r="Z9" s="7">
        <f>1+($B9-1)*(Z$1-$B$1)^[1]PUE!$I9</f>
        <v>1.106684501640449</v>
      </c>
      <c r="AA9" s="7">
        <f>1+($B9-1)*(AA$1-$B$1)^[1]PUE!$I9</f>
        <v>1.1043186105533362</v>
      </c>
      <c r="AB9" s="7">
        <f>1+($B9-1)*(AB$1-$B$1)^[1]PUE!$I9</f>
        <v>1.102094958679589</v>
      </c>
      <c r="AC9" s="7">
        <f>1+($B9-1)*(AC$1-$B$1)^[1]PUE!$I9</f>
        <v>1.1000000000000001</v>
      </c>
      <c r="AD9" s="8" t="s">
        <v>3</v>
      </c>
    </row>
    <row r="10" spans="1:30" ht="15" x14ac:dyDescent="0.25">
      <c r="A10" s="2" t="s">
        <v>25</v>
      </c>
      <c r="B10" s="7">
        <v>1.6038127334201866</v>
      </c>
      <c r="C10" s="7">
        <f>1+($B10-1)*(C$1-$B$1)^[1]PUE!$I10</f>
        <v>1.6038127334201866</v>
      </c>
      <c r="D10" s="7">
        <f>1+($B10-1)*(D$1-$B$1)^[1]PUE!$I10</f>
        <v>1.4136859542136837</v>
      </c>
      <c r="E10" s="7">
        <f>1+($B10-1)*(E$1-$B$1)^[1]PUE!$I10</f>
        <v>1.3315900662876123</v>
      </c>
      <c r="F10" s="7">
        <f>1+($B10-1)*(F$1-$B$1)^[1]PUE!$I10</f>
        <v>1.2834257365596069</v>
      </c>
      <c r="G10" s="7">
        <f>1+($B10-1)*(G$1-$B$1)^[1]PUE!$I10</f>
        <v>1.2509392251822313</v>
      </c>
      <c r="H10" s="7">
        <f>1+($B10-1)*(H$1-$B$1)^[1]PUE!$I10</f>
        <v>1.2271799605864084</v>
      </c>
      <c r="I10" s="7">
        <f>1+($B10-1)*(I$1-$B$1)^[1]PUE!$I10</f>
        <v>1.2088556271050599</v>
      </c>
      <c r="J10" s="7">
        <f>1+($B10-1)*(J$1-$B$1)^[1]PUE!$I10</f>
        <v>1.1941814734731415</v>
      </c>
      <c r="K10" s="7">
        <f>1+($B10-1)*(K$1-$B$1)^[1]PUE!$I10</f>
        <v>1.1820961466609363</v>
      </c>
      <c r="L10" s="7">
        <f>1+($B10-1)*(L$1-$B$1)^[1]PUE!$I10</f>
        <v>1.1719242193372452</v>
      </c>
      <c r="M10" s="7">
        <f>1+($B10-1)*(M$1-$B$1)^[1]PUE!$I10</f>
        <v>1.1632129641497879</v>
      </c>
      <c r="N10" s="7">
        <f>1+($B10-1)*(N$1-$B$1)^[1]PUE!$I10</f>
        <v>1.155646202161184</v>
      </c>
      <c r="O10" s="7">
        <f>1+($B10-1)*(O$1-$B$1)^[1]PUE!$I10</f>
        <v>1.1489956305575055</v>
      </c>
      <c r="P10" s="7">
        <f>1+($B10-1)*(P$1-$B$1)^[1]PUE!$I10</f>
        <v>1.1430917809607184</v>
      </c>
      <c r="Q10" s="7">
        <f>1+($B10-1)*(Q$1-$B$1)^[1]PUE!$I10</f>
        <v>1.1378058952831556</v>
      </c>
      <c r="R10" s="7">
        <f>1+($B10-1)*(R$1-$B$1)^[1]PUE!$I10</f>
        <v>1.1330381817046824</v>
      </c>
      <c r="S10" s="7">
        <f>1+($B10-1)*(S$1-$B$1)^[1]PUE!$I10</f>
        <v>1.1287099577234665</v>
      </c>
      <c r="T10" s="7">
        <f>1+($B10-1)*(T$1-$B$1)^[1]PUE!$I10</f>
        <v>1.1247582470865891</v>
      </c>
      <c r="U10" s="7">
        <f>1+($B10-1)*(U$1-$B$1)^[1]PUE!$I10</f>
        <v>1.1211319741443468</v>
      </c>
      <c r="V10" s="7">
        <f>1+($B10-1)*(V$1-$B$1)^[1]PUE!$I10</f>
        <v>1.1177892263485565</v>
      </c>
      <c r="W10" s="7">
        <f>1+($B10-1)*(W$1-$B$1)^[1]PUE!$I10</f>
        <v>1.1146952480515415</v>
      </c>
      <c r="X10" s="7">
        <f>1+($B10-1)*(X$1-$B$1)^[1]PUE!$I10</f>
        <v>1.1118209455966592</v>
      </c>
      <c r="Y10" s="7">
        <f>1+($B10-1)*(Y$1-$B$1)^[1]PUE!$I10</f>
        <v>1.1091417566446446</v>
      </c>
      <c r="Z10" s="7">
        <f>1+($B10-1)*(Z$1-$B$1)^[1]PUE!$I10</f>
        <v>1.1066367833882329</v>
      </c>
      <c r="AA10" s="7">
        <f>1+($B10-1)*(AA$1-$B$1)^[1]PUE!$I10</f>
        <v>1.1042881198916985</v>
      </c>
      <c r="AB10" s="7">
        <f>1+($B10-1)*(AB$1-$B$1)^[1]PUE!$I10</f>
        <v>1.102080324228536</v>
      </c>
      <c r="AC10" s="7">
        <f>1+($B10-1)*(AC$1-$B$1)^[1]PUE!$I10</f>
        <v>1.1000000000000001</v>
      </c>
      <c r="AD10" s="8" t="s">
        <v>3</v>
      </c>
    </row>
    <row r="11" spans="1:30" ht="15" x14ac:dyDescent="0.25">
      <c r="A11" s="2" t="s">
        <v>17</v>
      </c>
      <c r="B11" s="7">
        <v>1.5868208545410898</v>
      </c>
      <c r="C11" s="7">
        <f>1+($B11-1)*(C$1-$B$1)^[1]PUE!$I11</f>
        <v>1.5868208545410898</v>
      </c>
      <c r="D11" s="7">
        <f>1+($B11-1)*(D$1-$B$1)^[1]PUE!$I11</f>
        <v>1.4044652386864764</v>
      </c>
      <c r="E11" s="7">
        <f>1+($B11-1)*(E$1-$B$1)^[1]PUE!$I11</f>
        <v>1.3253396733718126</v>
      </c>
      <c r="F11" s="7">
        <f>1+($B11-1)*(F$1-$B$1)^[1]PUE!$I11</f>
        <v>1.2787769521818406</v>
      </c>
      <c r="G11" s="7">
        <f>1+($B11-1)*(G$1-$B$1)^[1]PUE!$I11</f>
        <v>1.2473007599026111</v>
      </c>
      <c r="H11" s="7">
        <f>1+($B11-1)*(H$1-$B$1)^[1]PUE!$I11</f>
        <v>1.2242397958869686</v>
      </c>
      <c r="I11" s="7">
        <f>1+($B11-1)*(I$1-$B$1)^[1]PUE!$I11</f>
        <v>1.2064280270623062</v>
      </c>
      <c r="J11" s="7">
        <f>1+($B11-1)*(J$1-$B$1)^[1]PUE!$I11</f>
        <v>1.1921465224556387</v>
      </c>
      <c r="K11" s="7">
        <f>1+($B11-1)*(K$1-$B$1)^[1]PUE!$I11</f>
        <v>1.180371747613592</v>
      </c>
      <c r="L11" s="7">
        <f>1+($B11-1)*(L$1-$B$1)^[1]PUE!$I11</f>
        <v>1.1704516124594422</v>
      </c>
      <c r="M11" s="7">
        <f>1+($B11-1)*(M$1-$B$1)^[1]PUE!$I11</f>
        <v>1.1619486000461137</v>
      </c>
      <c r="N11" s="7">
        <f>1+($B11-1)*(N$1-$B$1)^[1]PUE!$I11</f>
        <v>1.1545568836972524</v>
      </c>
      <c r="O11" s="7">
        <f>1+($B11-1)*(O$1-$B$1)^[1]PUE!$I11</f>
        <v>1.1480554586034712</v>
      </c>
      <c r="P11" s="7">
        <f>1+($B11-1)*(P$1-$B$1)^[1]PUE!$I11</f>
        <v>1.142280153459488</v>
      </c>
      <c r="Q11" s="7">
        <f>1+($B11-1)*(Q$1-$B$1)^[1]PUE!$I11</f>
        <v>1.1371061505887279</v>
      </c>
      <c r="R11" s="7">
        <f>1+($B11-1)*(R$1-$B$1)^[1]PUE!$I11</f>
        <v>1.1324366516056639</v>
      </c>
      <c r="S11" s="7">
        <f>1+($B11-1)*(S$1-$B$1)^[1]PUE!$I11</f>
        <v>1.1281952897334262</v>
      </c>
      <c r="T11" s="7">
        <f>1+($B11-1)*(T$1-$B$1)^[1]PUE!$I11</f>
        <v>1.1243209088195758</v>
      </c>
      <c r="U11" s="7">
        <f>1+($B11-1)*(U$1-$B$1)^[1]PUE!$I11</f>
        <v>1.1207638839098588</v>
      </c>
      <c r="V11" s="7">
        <f>1+($B11-1)*(V$1-$B$1)^[1]PUE!$I11</f>
        <v>1.1174834731662995</v>
      </c>
      <c r="W11" s="7">
        <f>1+($B11-1)*(W$1-$B$1)^[1]PUE!$I11</f>
        <v>1.1144458762491642</v>
      </c>
      <c r="X11" s="7">
        <f>1+($B11-1)*(X$1-$B$1)^[1]PUE!$I11</f>
        <v>1.1116227868619579</v>
      </c>
      <c r="Y11" s="7">
        <f>1+($B11-1)*(Y$1-$B$1)^[1]PUE!$I11</f>
        <v>1.10899029748956</v>
      </c>
      <c r="Z11" s="7">
        <f>1+($B11-1)*(Z$1-$B$1)^[1]PUE!$I11</f>
        <v>1.1065280594094324</v>
      </c>
      <c r="AA11" s="7">
        <f>1+($B11-1)*(AA$1-$B$1)^[1]PUE!$I11</f>
        <v>1.1042186305669657</v>
      </c>
      <c r="AB11" s="7">
        <f>1+($B11-1)*(AB$1-$B$1)^[1]PUE!$I11</f>
        <v>1.1020469636337638</v>
      </c>
      <c r="AC11" s="7">
        <f>1+($B11-1)*(AC$1-$B$1)^[1]PUE!$I11</f>
        <v>1.1000000000000001</v>
      </c>
      <c r="AD11" s="8" t="s">
        <v>3</v>
      </c>
    </row>
    <row r="12" spans="1:30" ht="15" x14ac:dyDescent="0.25">
      <c r="A12" s="2" t="s">
        <v>31</v>
      </c>
      <c r="B12" s="7">
        <v>1.5250126564126461</v>
      </c>
      <c r="C12" s="7">
        <f>1+($B12-1)*(C$1-$B$1)^[1]PUE!$I12</f>
        <v>1.5250126564126461</v>
      </c>
      <c r="D12" s="7">
        <f>1+($B12-1)*(D$1-$B$1)^[1]PUE!$I12</f>
        <v>1.3704340733398603</v>
      </c>
      <c r="E12" s="7">
        <f>1+($B12-1)*(E$1-$B$1)^[1]PUE!$I12</f>
        <v>1.3020738856227496</v>
      </c>
      <c r="F12" s="7">
        <f>1+($B12-1)*(F$1-$B$1)^[1]PUE!$I12</f>
        <v>1.2613677994522645</v>
      </c>
      <c r="G12" s="7">
        <f>1+($B12-1)*(G$1-$B$1)^[1]PUE!$I12</f>
        <v>1.2336109651695579</v>
      </c>
      <c r="H12" s="7">
        <f>1+($B12-1)*(H$1-$B$1)^[1]PUE!$I12</f>
        <v>1.2131347854838856</v>
      </c>
      <c r="I12" s="7">
        <f>1+($B12-1)*(I$1-$B$1)^[1]PUE!$I12</f>
        <v>1.1972291198950897</v>
      </c>
      <c r="J12" s="7">
        <f>1+($B12-1)*(J$1-$B$1)^[1]PUE!$I12</f>
        <v>1.1844137229996232</v>
      </c>
      <c r="K12" s="7">
        <f>1+($B12-1)*(K$1-$B$1)^[1]PUE!$I12</f>
        <v>1.1738027288688959</v>
      </c>
      <c r="L12" s="7">
        <f>1+($B12-1)*(L$1-$B$1)^[1]PUE!$I12</f>
        <v>1.1648292862041014</v>
      </c>
      <c r="M12" s="7">
        <f>1+($B12-1)*(M$1-$B$1)^[1]PUE!$I12</f>
        <v>1.1571116005354698</v>
      </c>
      <c r="N12" s="7">
        <f>1+($B12-1)*(N$1-$B$1)^[1]PUE!$I12</f>
        <v>1.1503818732612774</v>
      </c>
      <c r="O12" s="7">
        <f>1+($B12-1)*(O$1-$B$1)^[1]PUE!$I12</f>
        <v>1.1444459748789626</v>
      </c>
      <c r="P12" s="7">
        <f>1+($B12-1)*(P$1-$B$1)^[1]PUE!$I12</f>
        <v>1.1391592857269144</v>
      </c>
      <c r="Q12" s="7">
        <f>1+($B12-1)*(Q$1-$B$1)^[1]PUE!$I12</f>
        <v>1.1344115634374055</v>
      </c>
      <c r="R12" s="7">
        <f>1+($B12-1)*(R$1-$B$1)^[1]PUE!$I12</f>
        <v>1.1301171043328655</v>
      </c>
      <c r="S12" s="7">
        <f>1+($B12-1)*(S$1-$B$1)^[1]PUE!$I12</f>
        <v>1.1262081407152296</v>
      </c>
      <c r="T12" s="7">
        <f>1+($B12-1)*(T$1-$B$1)^[1]PUE!$I12</f>
        <v>1.122630287148517</v>
      </c>
      <c r="U12" s="7">
        <f>1+($B12-1)*(U$1-$B$1)^[1]PUE!$I12</f>
        <v>1.1193393243616057</v>
      </c>
      <c r="V12" s="7">
        <f>1+($B12-1)*(V$1-$B$1)^[1]PUE!$I12</f>
        <v>1.1162988799384232</v>
      </c>
      <c r="W12" s="7">
        <f>1+($B12-1)*(W$1-$B$1)^[1]PUE!$I12</f>
        <v>1.1134787245163826</v>
      </c>
      <c r="X12" s="7">
        <f>1+($B12-1)*(X$1-$B$1)^[1]PUE!$I12</f>
        <v>1.1108534993288921</v>
      </c>
      <c r="Y12" s="7">
        <f>1+($B12-1)*(Y$1-$B$1)^[1]PUE!$I12</f>
        <v>1.1084017517125893</v>
      </c>
      <c r="Z12" s="7">
        <f>1+($B12-1)*(Z$1-$B$1)^[1]PUE!$I12</f>
        <v>1.1061051942048226</v>
      </c>
      <c r="AA12" s="7">
        <f>1+($B12-1)*(AA$1-$B$1)^[1]PUE!$I12</f>
        <v>1.1039481284515142</v>
      </c>
      <c r="AB12" s="7">
        <f>1+($B12-1)*(AB$1-$B$1)^[1]PUE!$I12</f>
        <v>1.1019169922827643</v>
      </c>
      <c r="AC12" s="7">
        <f>1+($B12-1)*(AC$1-$B$1)^[1]PUE!$I12</f>
        <v>1.1000000000000001</v>
      </c>
      <c r="AD12" s="8" t="s">
        <v>3</v>
      </c>
    </row>
    <row r="13" spans="1:30" ht="15" x14ac:dyDescent="0.25">
      <c r="A13" s="2" t="s">
        <v>0</v>
      </c>
      <c r="B13" s="7">
        <v>1.6032882160663773</v>
      </c>
      <c r="C13" s="7">
        <f>1+($B13-1)*(C$1-$B$1)^[1]PUE!$I13</f>
        <v>1.6032882160663773</v>
      </c>
      <c r="D13" s="7">
        <f>1+($B13-1)*(D$1-$B$1)^[1]PUE!$I13</f>
        <v>1.413402146146219</v>
      </c>
      <c r="E13" s="7">
        <f>1+($B13-1)*(E$1-$B$1)^[1]PUE!$I13</f>
        <v>1.3313980090211648</v>
      </c>
      <c r="F13" s="7">
        <f>1+($B13-1)*(F$1-$B$1)^[1]PUE!$I13</f>
        <v>1.2832830641921511</v>
      </c>
      <c r="G13" s="7">
        <f>1+($B13-1)*(G$1-$B$1)^[1]PUE!$I13</f>
        <v>1.2508276640517415</v>
      </c>
      <c r="H13" s="7">
        <f>1+($B13-1)*(H$1-$B$1)^[1]PUE!$I13</f>
        <v>1.2270898792806189</v>
      </c>
      <c r="I13" s="7">
        <f>1+($B13-1)*(I$1-$B$1)^[1]PUE!$I13</f>
        <v>1.2087812978692791</v>
      </c>
      <c r="J13" s="7">
        <f>1+($B13-1)*(J$1-$B$1)^[1]PUE!$I13</f>
        <v>1.1941192013785784</v>
      </c>
      <c r="K13" s="7">
        <f>1+($B13-1)*(K$1-$B$1)^[1]PUE!$I13</f>
        <v>1.1820434038962042</v>
      </c>
      <c r="L13" s="7">
        <f>1+($B13-1)*(L$1-$B$1)^[1]PUE!$I13</f>
        <v>1.1718791978201408</v>
      </c>
      <c r="M13" s="7">
        <f>1+($B13-1)*(M$1-$B$1)^[1]PUE!$I13</f>
        <v>1.1631743246128146</v>
      </c>
      <c r="N13" s="7">
        <f>1+($B13-1)*(N$1-$B$1)^[1]PUE!$I13</f>
        <v>1.1556129242417765</v>
      </c>
      <c r="O13" s="7">
        <f>1+($B13-1)*(O$1-$B$1)^[1]PUE!$I13</f>
        <v>1.1489669185995521</v>
      </c>
      <c r="P13" s="7">
        <f>1+($B13-1)*(P$1-$B$1)^[1]PUE!$I13</f>
        <v>1.1430670023311986</v>
      </c>
      <c r="Q13" s="7">
        <f>1+($B13-1)*(Q$1-$B$1)^[1]PUE!$I13</f>
        <v>1.1377845385679322</v>
      </c>
      <c r="R13" s="7">
        <f>1+($B13-1)*(R$1-$B$1)^[1]PUE!$I13</f>
        <v>1.1330198275400507</v>
      </c>
      <c r="S13" s="7">
        <f>1+($B13-1)*(S$1-$B$1)^[1]PUE!$I13</f>
        <v>1.1286942579294164</v>
      </c>
      <c r="T13" s="7">
        <f>1+($B13-1)*(T$1-$B$1)^[1]PUE!$I13</f>
        <v>1.124744909411878</v>
      </c>
      <c r="U13" s="7">
        <f>1+($B13-1)*(U$1-$B$1)^[1]PUE!$I13</f>
        <v>1.1211207509003103</v>
      </c>
      <c r="V13" s="7">
        <f>1+($B13-1)*(V$1-$B$1)^[1]PUE!$I13</f>
        <v>1.1177799057969979</v>
      </c>
      <c r="W13" s="7">
        <f>1+($B13-1)*(W$1-$B$1)^[1]PUE!$I13</f>
        <v>1.1146876477811416</v>
      </c>
      <c r="X13" s="7">
        <f>1+($B13-1)*(X$1-$B$1)^[1]PUE!$I13</f>
        <v>1.1118149073600923</v>
      </c>
      <c r="Y13" s="7">
        <f>1+($B13-1)*(Y$1-$B$1)^[1]PUE!$I13</f>
        <v>1.1091371422854146</v>
      </c>
      <c r="Z13" s="7">
        <f>1+($B13-1)*(Z$1-$B$1)^[1]PUE!$I13</f>
        <v>1.1066334715918955</v>
      </c>
      <c r="AA13" s="7">
        <f>1+($B13-1)*(AA$1-$B$1)^[1]PUE!$I13</f>
        <v>1.1042860035687008</v>
      </c>
      <c r="AB13" s="7">
        <f>1+($B13-1)*(AB$1-$B$1)^[1]PUE!$I13</f>
        <v>1.1020793083866041</v>
      </c>
      <c r="AC13" s="7">
        <f>1+($B13-1)*(AC$1-$B$1)^[1]PUE!$I13</f>
        <v>1.1000000000000001</v>
      </c>
      <c r="AD13" s="8" t="s">
        <v>3</v>
      </c>
    </row>
    <row r="14" spans="1:30" ht="15" x14ac:dyDescent="0.25">
      <c r="A14" s="2" t="s">
        <v>6</v>
      </c>
      <c r="B14" s="7">
        <v>1.6025618865583442</v>
      </c>
      <c r="C14" s="7">
        <f>1+($B14-1)*(C$1-$B$1)^[1]PUE!$I14</f>
        <v>1.6025618865583442</v>
      </c>
      <c r="D14" s="7">
        <f>1+($B14-1)*(D$1-$B$1)^[1]PUE!$I14</f>
        <v>1.4130090550001073</v>
      </c>
      <c r="E14" s="7">
        <f>1+($B14-1)*(E$1-$B$1)^[1]PUE!$I14</f>
        <v>1.3311319642887083</v>
      </c>
      <c r="F14" s="7">
        <f>1+($B14-1)*(F$1-$B$1)^[1]PUE!$I14</f>
        <v>1.2830854113365258</v>
      </c>
      <c r="G14" s="7">
        <f>1+($B14-1)*(G$1-$B$1)^[1]PUE!$I14</f>
        <v>1.2506731006673399</v>
      </c>
      <c r="H14" s="7">
        <f>1+($B14-1)*(H$1-$B$1)^[1]PUE!$I14</f>
        <v>1.226965068156475</v>
      </c>
      <c r="I14" s="7">
        <f>1+($B14-1)*(I$1-$B$1)^[1]PUE!$I14</f>
        <v>1.2086783068514204</v>
      </c>
      <c r="J14" s="7">
        <f>1+($B14-1)*(J$1-$B$1)^[1]PUE!$I14</f>
        <v>1.1940329131804364</v>
      </c>
      <c r="K14" s="7">
        <f>1+($B14-1)*(K$1-$B$1)^[1]PUE!$I14</f>
        <v>1.1819703174390561</v>
      </c>
      <c r="L14" s="7">
        <f>1+($B14-1)*(L$1-$B$1)^[1]PUE!$I14</f>
        <v>1.1718168087462337</v>
      </c>
      <c r="M14" s="7">
        <f>1+($B14-1)*(M$1-$B$1)^[1]PUE!$I14</f>
        <v>1.1631207778341641</v>
      </c>
      <c r="N14" s="7">
        <f>1+($B14-1)*(N$1-$B$1)^[1]PUE!$I14</f>
        <v>1.1555668063453999</v>
      </c>
      <c r="O14" s="7">
        <f>1+($B14-1)*(O$1-$B$1)^[1]PUE!$I14</f>
        <v>1.148927127396596</v>
      </c>
      <c r="P14" s="7">
        <f>1+($B14-1)*(P$1-$B$1)^[1]PUE!$I14</f>
        <v>1.1430326614316693</v>
      </c>
      <c r="Q14" s="7">
        <f>1+($B14-1)*(Q$1-$B$1)^[1]PUE!$I14</f>
        <v>1.1377549394841791</v>
      </c>
      <c r="R14" s="7">
        <f>1+($B14-1)*(R$1-$B$1)^[1]PUE!$I14</f>
        <v>1.1329943892888594</v>
      </c>
      <c r="S14" s="7">
        <f>1+($B14-1)*(S$1-$B$1)^[1]PUE!$I14</f>
        <v>1.1286724981310394</v>
      </c>
      <c r="T14" s="7">
        <f>1+($B14-1)*(T$1-$B$1)^[1]PUE!$I14</f>
        <v>1.1247264231610128</v>
      </c>
      <c r="U14" s="7">
        <f>1+($B14-1)*(U$1-$B$1)^[1]PUE!$I14</f>
        <v>1.1211051950228177</v>
      </c>
      <c r="V14" s="7">
        <f>1+($B14-1)*(V$1-$B$1)^[1]PUE!$I14</f>
        <v>1.117766986921011</v>
      </c>
      <c r="W14" s="7">
        <f>1+($B14-1)*(W$1-$B$1)^[1]PUE!$I14</f>
        <v>1.1146771131623205</v>
      </c>
      <c r="X14" s="7">
        <f>1+($B14-1)*(X$1-$B$1)^[1]PUE!$I14</f>
        <v>1.1118065377300417</v>
      </c>
      <c r="Y14" s="7">
        <f>1+($B14-1)*(Y$1-$B$1)^[1]PUE!$I14</f>
        <v>1.109130746209452</v>
      </c>
      <c r="Z14" s="7">
        <f>1+($B14-1)*(Z$1-$B$1)^[1]PUE!$I14</f>
        <v>1.1066288809686888</v>
      </c>
      <c r="AA14" s="7">
        <f>1+($B14-1)*(AA$1-$B$1)^[1]PUE!$I14</f>
        <v>1.1042830700047837</v>
      </c>
      <c r="AB14" s="7">
        <f>1+($B14-1)*(AB$1-$B$1)^[1]PUE!$I14</f>
        <v>1.1020779002489947</v>
      </c>
      <c r="AC14" s="7">
        <f>1+($B14-1)*(AC$1-$B$1)^[1]PUE!$I14</f>
        <v>1.1000000000000001</v>
      </c>
      <c r="AD14" s="8" t="s">
        <v>3</v>
      </c>
    </row>
    <row r="15" spans="1:30" ht="15" x14ac:dyDescent="0.25">
      <c r="A15" s="2" t="s">
        <v>18</v>
      </c>
      <c r="B15" s="7">
        <v>1.6054537987054969</v>
      </c>
      <c r="C15" s="7">
        <f>1+($B15-1)*(C$1-$B$1)^[1]PUE!$I15</f>
        <v>1.6054537987054969</v>
      </c>
      <c r="D15" s="7">
        <f>1+($B15-1)*(D$1-$B$1)^[1]PUE!$I15</f>
        <v>1.4145735741537657</v>
      </c>
      <c r="E15" s="7">
        <f>1+($B15-1)*(E$1-$B$1)^[1]PUE!$I15</f>
        <v>1.3321905998898085</v>
      </c>
      <c r="F15" s="7">
        <f>1+($B15-1)*(F$1-$B$1)^[1]PUE!$I15</f>
        <v>1.2838717813879452</v>
      </c>
      <c r="G15" s="7">
        <f>1+($B15-1)*(G$1-$B$1)^[1]PUE!$I15</f>
        <v>1.2512879628495577</v>
      </c>
      <c r="H15" s="7">
        <f>1+($B15-1)*(H$1-$B$1)^[1]PUE!$I15</f>
        <v>1.2274615248777876</v>
      </c>
      <c r="I15" s="7">
        <f>1+($B15-1)*(I$1-$B$1)^[1]PUE!$I15</f>
        <v>1.2090879361790086</v>
      </c>
      <c r="J15" s="7">
        <f>1+($B15-1)*(J$1-$B$1)^[1]PUE!$I15</f>
        <v>1.1943760849515144</v>
      </c>
      <c r="K15" s="7">
        <f>1+($B15-1)*(K$1-$B$1)^[1]PUE!$I15</f>
        <v>1.1822609667180026</v>
      </c>
      <c r="L15" s="7">
        <f>1+($B15-1)*(L$1-$B$1)^[1]PUE!$I15</f>
        <v>1.1720649025955379</v>
      </c>
      <c r="M15" s="7">
        <f>1+($B15-1)*(M$1-$B$1)^[1]PUE!$I15</f>
        <v>1.1633336987375034</v>
      </c>
      <c r="N15" s="7">
        <f>1+($B15-1)*(N$1-$B$1)^[1]PUE!$I15</f>
        <v>1.1557501787133373</v>
      </c>
      <c r="O15" s="7">
        <f>1+($B15-1)*(O$1-$B$1)^[1]PUE!$I15</f>
        <v>1.1490853369016576</v>
      </c>
      <c r="P15" s="7">
        <f>1+($B15-1)*(P$1-$B$1)^[1]PUE!$I15</f>
        <v>1.1431691950723557</v>
      </c>
      <c r="Q15" s="7">
        <f>1+($B15-1)*(Q$1-$B$1)^[1]PUE!$I15</f>
        <v>1.1378726160485886</v>
      </c>
      <c r="R15" s="7">
        <f>1+($B15-1)*(R$1-$B$1)^[1]PUE!$I15</f>
        <v>1.1330955201547301</v>
      </c>
      <c r="S15" s="7">
        <f>1+($B15-1)*(S$1-$B$1)^[1]PUE!$I15</f>
        <v>1.1287590022976928</v>
      </c>
      <c r="T15" s="7">
        <f>1+($B15-1)*(T$1-$B$1)^[1]PUE!$I15</f>
        <v>1.124799911343453</v>
      </c>
      <c r="U15" s="7">
        <f>1+($B15-1)*(U$1-$B$1)^[1]PUE!$I15</f>
        <v>1.1211670323077003</v>
      </c>
      <c r="V15" s="7">
        <f>1+($B15-1)*(V$1-$B$1)^[1]PUE!$I15</f>
        <v>1.1178183402399455</v>
      </c>
      <c r="W15" s="7">
        <f>1+($B15-1)*(W$1-$B$1)^[1]PUE!$I15</f>
        <v>1.1147189878030841</v>
      </c>
      <c r="X15" s="7">
        <f>1+($B15-1)*(X$1-$B$1)^[1]PUE!$I15</f>
        <v>1.1118398057954846</v>
      </c>
      <c r="Y15" s="7">
        <f>1+($B15-1)*(Y$1-$B$1)^[1]PUE!$I15</f>
        <v>1.1091561690693046</v>
      </c>
      <c r="Z15" s="7">
        <f>1+($B15-1)*(Z$1-$B$1)^[1]PUE!$I15</f>
        <v>1.1066471271669795</v>
      </c>
      <c r="AA15" s="7">
        <f>1+($B15-1)*(AA$1-$B$1)^[1]PUE!$I15</f>
        <v>1.1042947296855523</v>
      </c>
      <c r="AB15" s="7">
        <f>1+($B15-1)*(AB$1-$B$1)^[1]PUE!$I15</f>
        <v>1.1020834968834714</v>
      </c>
      <c r="AC15" s="7">
        <f>1+($B15-1)*(AC$1-$B$1)^[1]PUE!$I15</f>
        <v>1.1000000000000001</v>
      </c>
      <c r="AD15" s="8" t="s">
        <v>3</v>
      </c>
    </row>
    <row r="16" spans="1:30" ht="15" x14ac:dyDescent="0.25">
      <c r="A16" s="2" t="s">
        <v>24</v>
      </c>
      <c r="B16" s="7">
        <v>1.6063859147119139</v>
      </c>
      <c r="C16" s="7">
        <f>1+($B16-1)*(C$1-$B$1)^[1]PUE!$I16</f>
        <v>1.6063859147119139</v>
      </c>
      <c r="D16" s="7">
        <f>1+($B16-1)*(D$1-$B$1)^[1]PUE!$I16</f>
        <v>1.4150775120133845</v>
      </c>
      <c r="E16" s="7">
        <f>1+($B16-1)*(E$1-$B$1)^[1]PUE!$I16</f>
        <v>1.332531458025322</v>
      </c>
      <c r="F16" s="7">
        <f>1+($B16-1)*(F$1-$B$1)^[1]PUE!$I16</f>
        <v>1.2841249059372921</v>
      </c>
      <c r="G16" s="7">
        <f>1+($B16-1)*(G$1-$B$1)^[1]PUE!$I16</f>
        <v>1.251485838385539</v>
      </c>
      <c r="H16" s="7">
        <f>1+($B16-1)*(H$1-$B$1)^[1]PUE!$I16</f>
        <v>1.2276212671082711</v>
      </c>
      <c r="I16" s="7">
        <f>1+($B16-1)*(I$1-$B$1)^[1]PUE!$I16</f>
        <v>1.2092197209287472</v>
      </c>
      <c r="J16" s="7">
        <f>1+($B16-1)*(J$1-$B$1)^[1]PUE!$I16</f>
        <v>1.1944864750255897</v>
      </c>
      <c r="K16" s="7">
        <f>1+($B16-1)*(K$1-$B$1)^[1]PUE!$I16</f>
        <v>1.1823544510082828</v>
      </c>
      <c r="L16" s="7">
        <f>1+($B16-1)*(L$1-$B$1)^[1]PUE!$I16</f>
        <v>1.1721446913114104</v>
      </c>
      <c r="M16" s="7">
        <f>1+($B16-1)*(M$1-$B$1)^[1]PUE!$I16</f>
        <v>1.1634021693256682</v>
      </c>
      <c r="N16" s="7">
        <f>1+($B16-1)*(N$1-$B$1)^[1]PUE!$I16</f>
        <v>1.1558091422316787</v>
      </c>
      <c r="O16" s="7">
        <f>1+($B16-1)*(O$1-$B$1)^[1]PUE!$I16</f>
        <v>1.1491362053757896</v>
      </c>
      <c r="P16" s="7">
        <f>1+($B16-1)*(P$1-$B$1)^[1]PUE!$I16</f>
        <v>1.14321309107006</v>
      </c>
      <c r="Q16" s="7">
        <f>1+($B16-1)*(Q$1-$B$1)^[1]PUE!$I16</f>
        <v>1.1379104469317924</v>
      </c>
      <c r="R16" s="7">
        <f>1+($B16-1)*(R$1-$B$1)^[1]PUE!$I16</f>
        <v>1.1331280298821376</v>
      </c>
      <c r="S16" s="7">
        <f>1+($B16-1)*(S$1-$B$1)^[1]PUE!$I16</f>
        <v>1.1287868084797785</v>
      </c>
      <c r="T16" s="7">
        <f>1+($B16-1)*(T$1-$B$1)^[1]PUE!$I16</f>
        <v>1.1248235323293163</v>
      </c>
      <c r="U16" s="7">
        <f>1+($B16-1)*(U$1-$B$1)^[1]PUE!$I16</f>
        <v>1.1211869073651142</v>
      </c>
      <c r="V16" s="7">
        <f>1+($B16-1)*(V$1-$B$1)^[1]PUE!$I16</f>
        <v>1.1178348448443083</v>
      </c>
      <c r="W16" s="7">
        <f>1+($B16-1)*(W$1-$B$1)^[1]PUE!$I16</f>
        <v>1.1147324453951739</v>
      </c>
      <c r="X16" s="7">
        <f>1+($B16-1)*(X$1-$B$1)^[1]PUE!$I16</f>
        <v>1.1118504969455147</v>
      </c>
      <c r="Y16" s="7">
        <f>1+($B16-1)*(Y$1-$B$1)^[1]PUE!$I16</f>
        <v>1.1091643387061747</v>
      </c>
      <c r="Z16" s="7">
        <f>1+($B16-1)*(Z$1-$B$1)^[1]PUE!$I16</f>
        <v>1.1066529903439297</v>
      </c>
      <c r="AA16" s="7">
        <f>1+($B16-1)*(AA$1-$B$1)^[1]PUE!$I16</f>
        <v>1.1042984762245416</v>
      </c>
      <c r="AB16" s="7">
        <f>1+($B16-1)*(AB$1-$B$1)^[1]PUE!$I16</f>
        <v>1.1020852951505464</v>
      </c>
      <c r="AC16" s="7">
        <f>1+($B16-1)*(AC$1-$B$1)^[1]PUE!$I16</f>
        <v>1.1000000000000001</v>
      </c>
      <c r="AD16" s="8" t="s">
        <v>3</v>
      </c>
    </row>
    <row r="17" spans="1:30" ht="15" x14ac:dyDescent="0.25">
      <c r="A17" s="2" t="s">
        <v>14</v>
      </c>
      <c r="B17" s="7">
        <v>1.6031037717688743</v>
      </c>
      <c r="C17" s="7">
        <f>1+($B17-1)*(C$1-$B$1)^[1]PUE!$I17</f>
        <v>1.6031037717688743</v>
      </c>
      <c r="D17" s="7">
        <f>1+($B17-1)*(D$1-$B$1)^[1]PUE!$I17</f>
        <v>1.4133023339148809</v>
      </c>
      <c r="E17" s="7">
        <f>1+($B17-1)*(E$1-$B$1)^[1]PUE!$I17</f>
        <v>1.3313304596736859</v>
      </c>
      <c r="F17" s="7">
        <f>1+($B17-1)*(F$1-$B$1)^[1]PUE!$I17</f>
        <v>1.2832328816622791</v>
      </c>
      <c r="G17" s="7">
        <f>1+($B17-1)*(G$1-$B$1)^[1]PUE!$I17</f>
        <v>1.2507884227989845</v>
      </c>
      <c r="H17" s="7">
        <f>1+($B17-1)*(H$1-$B$1)^[1]PUE!$I17</f>
        <v>1.2270581924543225</v>
      </c>
      <c r="I17" s="7">
        <f>1+($B17-1)*(I$1-$B$1)^[1]PUE!$I17</f>
        <v>1.2087551512423551</v>
      </c>
      <c r="J17" s="7">
        <f>1+($B17-1)*(J$1-$B$1)^[1]PUE!$I17</f>
        <v>1.1940972955435571</v>
      </c>
      <c r="K17" s="7">
        <f>1+($B17-1)*(K$1-$B$1)^[1]PUE!$I17</f>
        <v>1.1820248498622334</v>
      </c>
      <c r="L17" s="7">
        <f>1+($B17-1)*(L$1-$B$1)^[1]PUE!$I17</f>
        <v>1.1718633596962054</v>
      </c>
      <c r="M17" s="7">
        <f>1+($B17-1)*(M$1-$B$1)^[1]PUE!$I17</f>
        <v>1.1631607313753838</v>
      </c>
      <c r="N17" s="7">
        <f>1+($B17-1)*(N$1-$B$1)^[1]PUE!$I17</f>
        <v>1.1556012170188004</v>
      </c>
      <c r="O17" s="7">
        <f>1+($B17-1)*(O$1-$B$1)^[1]PUE!$I17</f>
        <v>1.1489568175446996</v>
      </c>
      <c r="P17" s="7">
        <f>1+($B17-1)*(P$1-$B$1)^[1]PUE!$I17</f>
        <v>1.1430582849319069</v>
      </c>
      <c r="Q17" s="7">
        <f>1+($B17-1)*(Q$1-$B$1)^[1]PUE!$I17</f>
        <v>1.1377770249440093</v>
      </c>
      <c r="R17" s="7">
        <f>1+($B17-1)*(R$1-$B$1)^[1]PUE!$I17</f>
        <v>1.1330133701857554</v>
      </c>
      <c r="S17" s="7">
        <f>1+($B17-1)*(S$1-$B$1)^[1]PUE!$I17</f>
        <v>1.1286887343749525</v>
      </c>
      <c r="T17" s="7">
        <f>1+($B17-1)*(T$1-$B$1)^[1]PUE!$I17</f>
        <v>1.1247402168583975</v>
      </c>
      <c r="U17" s="7">
        <f>1+($B17-1)*(U$1-$B$1)^[1]PUE!$I17</f>
        <v>1.1211168022224844</v>
      </c>
      <c r="V17" s="7">
        <f>1+($B17-1)*(V$1-$B$1)^[1]PUE!$I17</f>
        <v>1.1177766265141442</v>
      </c>
      <c r="W17" s="7">
        <f>1+($B17-1)*(W$1-$B$1)^[1]PUE!$I17</f>
        <v>1.114684973727682</v>
      </c>
      <c r="X17" s="7">
        <f>1+($B17-1)*(X$1-$B$1)^[1]PUE!$I17</f>
        <v>1.1118127828697246</v>
      </c>
      <c r="Y17" s="7">
        <f>1+($B17-1)*(Y$1-$B$1)^[1]PUE!$I17</f>
        <v>1.1091355187585297</v>
      </c>
      <c r="Z17" s="7">
        <f>1+($B17-1)*(Z$1-$B$1)^[1]PUE!$I17</f>
        <v>1.1066323063529298</v>
      </c>
      <c r="AA17" s="7">
        <f>1+($B17-1)*(AA$1-$B$1)^[1]PUE!$I17</f>
        <v>1.1042852589456285</v>
      </c>
      <c r="AB17" s="7">
        <f>1+($B17-1)*(AB$1-$B$1)^[1]PUE!$I17</f>
        <v>1.1020789509626057</v>
      </c>
      <c r="AC17" s="7">
        <f>1+($B17-1)*(AC$1-$B$1)^[1]PUE!$I17</f>
        <v>1.1000000000000001</v>
      </c>
      <c r="AD17" s="8" t="s">
        <v>3</v>
      </c>
    </row>
    <row r="18" spans="1:30" ht="15" x14ac:dyDescent="0.25">
      <c r="A18" s="2" t="s">
        <v>15</v>
      </c>
      <c r="B18" s="7">
        <v>1.6088984607234031</v>
      </c>
      <c r="C18" s="7">
        <f>1+($B18-1)*(C$1-$B$1)^[1]PUE!$I18</f>
        <v>1.6088984607234031</v>
      </c>
      <c r="D18" s="7">
        <f>1+($B18-1)*(D$1-$B$1)^[1]PUE!$I18</f>
        <v>1.416435080839209</v>
      </c>
      <c r="E18" s="7">
        <f>1+($B18-1)*(E$1-$B$1)^[1]PUE!$I18</f>
        <v>1.3334493824567355</v>
      </c>
      <c r="F18" s="7">
        <f>1+($B18-1)*(F$1-$B$1)^[1]PUE!$I18</f>
        <v>1.2848063966979464</v>
      </c>
      <c r="G18" s="7">
        <f>1+($B18-1)*(G$1-$B$1)^[1]PUE!$I18</f>
        <v>1.2520184791262359</v>
      </c>
      <c r="H18" s="7">
        <f>1+($B18-1)*(H$1-$B$1)^[1]PUE!$I18</f>
        <v>1.2280511932550824</v>
      </c>
      <c r="I18" s="7">
        <f>1+($B18-1)*(I$1-$B$1)^[1]PUE!$I18</f>
        <v>1.2095743559656391</v>
      </c>
      <c r="J18" s="7">
        <f>1+($B18-1)*(J$1-$B$1)^[1]PUE!$I18</f>
        <v>1.1947835024767943</v>
      </c>
      <c r="K18" s="7">
        <f>1+($B18-1)*(K$1-$B$1)^[1]PUE!$I18</f>
        <v>1.1826059644307205</v>
      </c>
      <c r="L18" s="7">
        <f>1+($B18-1)*(L$1-$B$1)^[1]PUE!$I18</f>
        <v>1.1723593382108788</v>
      </c>
      <c r="M18" s="7">
        <f>1+($B18-1)*(M$1-$B$1)^[1]PUE!$I18</f>
        <v>1.1635863531866009</v>
      </c>
      <c r="N18" s="7">
        <f>1+($B18-1)*(N$1-$B$1)^[1]PUE!$I18</f>
        <v>1.1559677404765167</v>
      </c>
      <c r="O18" s="7">
        <f>1+($B18-1)*(O$1-$B$1)^[1]PUE!$I18</f>
        <v>1.1492730203949824</v>
      </c>
      <c r="P18" s="7">
        <f>1+($B18-1)*(P$1-$B$1)^[1]PUE!$I18</f>
        <v>1.1433311454995139</v>
      </c>
      <c r="Q18" s="7">
        <f>1+($B18-1)*(Q$1-$B$1)^[1]PUE!$I18</f>
        <v>1.1380121837268082</v>
      </c>
      <c r="R18" s="7">
        <f>1+($B18-1)*(R$1-$B$1)^[1]PUE!$I18</f>
        <v>1.1332154518894655</v>
      </c>
      <c r="S18" s="7">
        <f>1+($B18-1)*(S$1-$B$1)^[1]PUE!$I18</f>
        <v>1.1288615782673235</v>
      </c>
      <c r="T18" s="7">
        <f>1+($B18-1)*(T$1-$B$1)^[1]PUE!$I18</f>
        <v>1.1248870451554192</v>
      </c>
      <c r="U18" s="7">
        <f>1+($B18-1)*(U$1-$B$1)^[1]PUE!$I18</f>
        <v>1.1212403455378508</v>
      </c>
      <c r="V18" s="7">
        <f>1+($B18-1)*(V$1-$B$1)^[1]PUE!$I18</f>
        <v>1.1178792189028786</v>
      </c>
      <c r="W18" s="7">
        <f>1+($B18-1)*(W$1-$B$1)^[1]PUE!$I18</f>
        <v>1.1147686257779112</v>
      </c>
      <c r="X18" s="7">
        <f>1+($B18-1)*(X$1-$B$1)^[1]PUE!$I18</f>
        <v>1.1118792386706313</v>
      </c>
      <c r="Y18" s="7">
        <f>1+($B18-1)*(Y$1-$B$1)^[1]PUE!$I18</f>
        <v>1.1091863008405654</v>
      </c>
      <c r="Z18" s="7">
        <f>1+($B18-1)*(Z$1-$B$1)^[1]PUE!$I18</f>
        <v>1.1066687515295777</v>
      </c>
      <c r="AA18" s="7">
        <f>1+($B18-1)*(AA$1-$B$1)^[1]PUE!$I18</f>
        <v>1.10430854718477</v>
      </c>
      <c r="AB18" s="7">
        <f>1+($B18-1)*(AB$1-$B$1)^[1]PUE!$I18</f>
        <v>1.1020901288557128</v>
      </c>
      <c r="AC18" s="7">
        <f>1+($B18-1)*(AC$1-$B$1)^[1]PUE!$I18</f>
        <v>1.1000000000000001</v>
      </c>
      <c r="AD18" s="8" t="s">
        <v>3</v>
      </c>
    </row>
    <row r="19" spans="1:30" ht="15" x14ac:dyDescent="0.25">
      <c r="A19" s="2" t="s">
        <v>16</v>
      </c>
      <c r="B19" s="7">
        <v>1.5812825299787383</v>
      </c>
      <c r="C19" s="7">
        <f>1+($B19-1)*(C$1-$B$1)^[1]PUE!$I19</f>
        <v>1.5812825299787383</v>
      </c>
      <c r="D19" s="7">
        <f>1+($B19-1)*(D$1-$B$1)^[1]PUE!$I19</f>
        <v>1.4014477670687575</v>
      </c>
      <c r="E19" s="7">
        <f>1+($B19-1)*(E$1-$B$1)^[1]PUE!$I19</f>
        <v>1.3232894361914869</v>
      </c>
      <c r="F19" s="7">
        <f>1+($B19-1)*(F$1-$B$1)^[1]PUE!$I19</f>
        <v>1.2772495324956457</v>
      </c>
      <c r="G19" s="7">
        <f>1+($B19-1)*(G$1-$B$1)^[1]PUE!$I19</f>
        <v>1.2461037513433424</v>
      </c>
      <c r="H19" s="7">
        <f>1+($B19-1)*(H$1-$B$1)^[1]PUE!$I19</f>
        <v>1.2232714998001697</v>
      </c>
      <c r="I19" s="7">
        <f>1+($B19-1)*(I$1-$B$1)^[1]PUE!$I19</f>
        <v>1.205627823648836</v>
      </c>
      <c r="J19" s="7">
        <f>1+($B19-1)*(J$1-$B$1)^[1]PUE!$I19</f>
        <v>1.1914752293438182</v>
      </c>
      <c r="K19" s="7">
        <f>1+($B19-1)*(K$1-$B$1)^[1]PUE!$I19</f>
        <v>1.1798025128276819</v>
      </c>
      <c r="L19" s="7">
        <f>1+($B19-1)*(L$1-$B$1)^[1]PUE!$I19</f>
        <v>1.1699651999650551</v>
      </c>
      <c r="M19" s="7">
        <f>1+($B19-1)*(M$1-$B$1)^[1]PUE!$I19</f>
        <v>1.161530741714591</v>
      </c>
      <c r="N19" s="7">
        <f>1+($B19-1)*(N$1-$B$1)^[1]PUE!$I19</f>
        <v>1.1541966951047868</v>
      </c>
      <c r="O19" s="7">
        <f>1+($B19-1)*(O$1-$B$1)^[1]PUE!$I19</f>
        <v>1.1477444423599754</v>
      </c>
      <c r="P19" s="7">
        <f>1+($B19-1)*(P$1-$B$1)^[1]PUE!$I19</f>
        <v>1.1420115458382223</v>
      </c>
      <c r="Q19" s="7">
        <f>1+($B19-1)*(Q$1-$B$1)^[1]PUE!$I19</f>
        <v>1.1368744782667204</v>
      </c>
      <c r="R19" s="7">
        <f>1+($B19-1)*(R$1-$B$1)^[1]PUE!$I19</f>
        <v>1.1322374220877851</v>
      </c>
      <c r="S19" s="7">
        <f>1+($B19-1)*(S$1-$B$1)^[1]PUE!$I19</f>
        <v>1.1280247696871295</v>
      </c>
      <c r="T19" s="7">
        <f>1+($B19-1)*(T$1-$B$1)^[1]PUE!$I19</f>
        <v>1.1241759618866658</v>
      </c>
      <c r="U19" s="7">
        <f>1+($B19-1)*(U$1-$B$1)^[1]PUE!$I19</f>
        <v>1.1206418497663908</v>
      </c>
      <c r="V19" s="7">
        <f>1+($B19-1)*(V$1-$B$1)^[1]PUE!$I19</f>
        <v>1.1173820758175237</v>
      </c>
      <c r="W19" s="7">
        <f>1+($B19-1)*(W$1-$B$1)^[1]PUE!$I19</f>
        <v>1.114363153448197</v>
      </c>
      <c r="X19" s="7">
        <f>1+($B19-1)*(X$1-$B$1)^[1]PUE!$I19</f>
        <v>1.1115570350560073</v>
      </c>
      <c r="Y19" s="7">
        <f>1+($B19-1)*(Y$1-$B$1)^[1]PUE!$I19</f>
        <v>1.1089400283576498</v>
      </c>
      <c r="Z19" s="7">
        <f>1+($B19-1)*(Z$1-$B$1)^[1]PUE!$I19</f>
        <v>1.1064919651747711</v>
      </c>
      <c r="AA19" s="7">
        <f>1+($B19-1)*(AA$1-$B$1)^[1]PUE!$I19</f>
        <v>1.1041955560362033</v>
      </c>
      <c r="AB19" s="7">
        <f>1+($B19-1)*(AB$1-$B$1)^[1]PUE!$I19</f>
        <v>1.1020358834530952</v>
      </c>
      <c r="AC19" s="7">
        <f>1+($B19-1)*(AC$1-$B$1)^[1]PUE!$I19</f>
        <v>1.1000000000000001</v>
      </c>
      <c r="AD19" s="8" t="s">
        <v>3</v>
      </c>
    </row>
    <row r="20" spans="1:30" ht="15" x14ac:dyDescent="0.25">
      <c r="A20" s="6" t="s">
        <v>8</v>
      </c>
      <c r="B20" s="7">
        <v>1.6021374701932229</v>
      </c>
      <c r="C20" s="7">
        <f>1+($B20-1)*(C$1-$B$1)^[1]PUE!$I20</f>
        <v>1.6021374701932229</v>
      </c>
      <c r="D20" s="7">
        <f>1+($B20-1)*(D$1-$B$1)^[1]PUE!$I20</f>
        <v>1.4127793137948566</v>
      </c>
      <c r="E20" s="7">
        <f>1+($B20-1)*(E$1-$B$1)^[1]PUE!$I20</f>
        <v>1.3309764568008697</v>
      </c>
      <c r="F20" s="7">
        <f>1+($B20-1)*(F$1-$B$1)^[1]PUE!$I20</f>
        <v>1.2829698703890267</v>
      </c>
      <c r="G20" s="7">
        <f>1+($B20-1)*(G$1-$B$1)^[1]PUE!$I20</f>
        <v>1.2505827424776403</v>
      </c>
      <c r="H20" s="7">
        <f>1+($B20-1)*(H$1-$B$1)^[1]PUE!$I20</f>
        <v>1.2268920993683972</v>
      </c>
      <c r="I20" s="7">
        <f>1+($B20-1)*(I$1-$B$1)^[1]PUE!$I20</f>
        <v>1.2086180921439913</v>
      </c>
      <c r="J20" s="7">
        <f>1+($B20-1)*(J$1-$B$1)^[1]PUE!$I20</f>
        <v>1.1939824619888213</v>
      </c>
      <c r="K20" s="7">
        <f>1+($B20-1)*(K$1-$B$1)^[1]PUE!$I20</f>
        <v>1.1819275836152587</v>
      </c>
      <c r="L20" s="7">
        <f>1+($B20-1)*(L$1-$B$1)^[1]PUE!$I20</f>
        <v>1.1717803285943353</v>
      </c>
      <c r="M20" s="7">
        <f>1+($B20-1)*(M$1-$B$1)^[1]PUE!$I20</f>
        <v>1.1630894670865428</v>
      </c>
      <c r="N20" s="7">
        <f>1+($B20-1)*(N$1-$B$1)^[1]PUE!$I20</f>
        <v>1.1555398388555815</v>
      </c>
      <c r="O20" s="7">
        <f>1+($B20-1)*(O$1-$B$1)^[1]PUE!$I20</f>
        <v>1.1489038589081328</v>
      </c>
      <c r="P20" s="7">
        <f>1+($B20-1)*(P$1-$B$1)^[1]PUE!$I20</f>
        <v>1.1430125796568609</v>
      </c>
      <c r="Q20" s="7">
        <f>1+($B20-1)*(Q$1-$B$1)^[1]PUE!$I20</f>
        <v>1.1377376302691811</v>
      </c>
      <c r="R20" s="7">
        <f>1+($B20-1)*(R$1-$B$1)^[1]PUE!$I20</f>
        <v>1.1329795130043774</v>
      </c>
      <c r="S20" s="7">
        <f>1+($B20-1)*(S$1-$B$1)^[1]PUE!$I20</f>
        <v>1.1286597727816103</v>
      </c>
      <c r="T20" s="7">
        <f>1+($B20-1)*(T$1-$B$1)^[1]PUE!$I20</f>
        <v>1.1247156120361768</v>
      </c>
      <c r="U20" s="7">
        <f>1+($B20-1)*(U$1-$B$1)^[1]PUE!$I20</f>
        <v>1.1210960974957684</v>
      </c>
      <c r="V20" s="7">
        <f>1+($B20-1)*(V$1-$B$1)^[1]PUE!$I20</f>
        <v>1.1177594314764547</v>
      </c>
      <c r="W20" s="7">
        <f>1+($B20-1)*(W$1-$B$1)^[1]PUE!$I20</f>
        <v>1.1146709520339575</v>
      </c>
      <c r="X20" s="7">
        <f>1+($B20-1)*(X$1-$B$1)^[1]PUE!$I20</f>
        <v>1.1118016427204727</v>
      </c>
      <c r="Y20" s="7">
        <f>1+($B20-1)*(Y$1-$B$1)^[1]PUE!$I20</f>
        <v>1.1091270053922386</v>
      </c>
      <c r="Z20" s="7">
        <f>1+($B20-1)*(Z$1-$B$1)^[1]PUE!$I20</f>
        <v>1.1066261960577986</v>
      </c>
      <c r="AA20" s="7">
        <f>1+($B20-1)*(AA$1-$B$1)^[1]PUE!$I20</f>
        <v>1.1042813542353807</v>
      </c>
      <c r="AB20" s="7">
        <f>1+($B20-1)*(AB$1-$B$1)^[1]PUE!$I20</f>
        <v>1.1020770766545747</v>
      </c>
      <c r="AC20" s="7">
        <f>1+($B20-1)*(AC$1-$B$1)^[1]PUE!$I20</f>
        <v>1.1000000000000001</v>
      </c>
      <c r="AD20" s="8" t="s">
        <v>3</v>
      </c>
    </row>
    <row r="21" spans="1:30" ht="15" x14ac:dyDescent="0.25">
      <c r="A21" s="2" t="s">
        <v>9</v>
      </c>
      <c r="B21" s="7">
        <v>1.6033849414960266</v>
      </c>
      <c r="C21" s="7">
        <f>1+($B21-1)*(C$1-$B$1)^[1]PUE!$I21</f>
        <v>1.6033849414960266</v>
      </c>
      <c r="D21" s="7">
        <f>1+($B21-1)*(D$1-$B$1)^[1]PUE!$I21</f>
        <v>1.4134544866518872</v>
      </c>
      <c r="E21" s="7">
        <f>1+($B21-1)*(E$1-$B$1)^[1]PUE!$I21</f>
        <v>1.3314334301874333</v>
      </c>
      <c r="F21" s="7">
        <f>1+($B21-1)*(F$1-$B$1)^[1]PUE!$I21</f>
        <v>1.2833093781040295</v>
      </c>
      <c r="G21" s="7">
        <f>1+($B21-1)*(G$1-$B$1)^[1]PUE!$I21</f>
        <v>1.2508482404271724</v>
      </c>
      <c r="H21" s="7">
        <f>1+($B21-1)*(H$1-$B$1)^[1]PUE!$I21</f>
        <v>1.2271064942351095</v>
      </c>
      <c r="I21" s="7">
        <f>1+($B21-1)*(I$1-$B$1)^[1]PUE!$I21</f>
        <v>1.2087950076765417</v>
      </c>
      <c r="J21" s="7">
        <f>1+($B21-1)*(J$1-$B$1)^[1]PUE!$I21</f>
        <v>1.1941306874467934</v>
      </c>
      <c r="K21" s="7">
        <f>1+($B21-1)*(K$1-$B$1)^[1]PUE!$I21</f>
        <v>1.1820531324057439</v>
      </c>
      <c r="L21" s="7">
        <f>1+($B21-1)*(L$1-$B$1)^[1]PUE!$I21</f>
        <v>1.171887502224032</v>
      </c>
      <c r="M21" s="7">
        <f>1+($B21-1)*(M$1-$B$1)^[1]PUE!$I21</f>
        <v>1.1631814519072792</v>
      </c>
      <c r="N21" s="7">
        <f>1+($B21-1)*(N$1-$B$1)^[1]PUE!$I21</f>
        <v>1.1556190626111364</v>
      </c>
      <c r="O21" s="7">
        <f>1+($B21-1)*(O$1-$B$1)^[1]PUE!$I21</f>
        <v>1.1489722147876238</v>
      </c>
      <c r="P21" s="7">
        <f>1+($B21-1)*(P$1-$B$1)^[1]PUE!$I21</f>
        <v>1.1430715730166261</v>
      </c>
      <c r="Q21" s="7">
        <f>1+($B21-1)*(Q$1-$B$1)^[1]PUE!$I21</f>
        <v>1.1377884780735901</v>
      </c>
      <c r="R21" s="7">
        <f>1+($B21-1)*(R$1-$B$1)^[1]PUE!$I21</f>
        <v>1.1330232132122582</v>
      </c>
      <c r="S21" s="7">
        <f>1+($B21-1)*(S$1-$B$1)^[1]PUE!$I21</f>
        <v>1.1286971539861934</v>
      </c>
      <c r="T21" s="7">
        <f>1+($B21-1)*(T$1-$B$1)^[1]PUE!$I21</f>
        <v>1.1247473697562944</v>
      </c>
      <c r="U21" s="7">
        <f>1+($B21-1)*(U$1-$B$1)^[1]PUE!$I21</f>
        <v>1.1211228212166828</v>
      </c>
      <c r="V21" s="7">
        <f>1+($B21-1)*(V$1-$B$1)^[1]PUE!$I21</f>
        <v>1.1177816251391821</v>
      </c>
      <c r="W21" s="7">
        <f>1+($B21-1)*(W$1-$B$1)^[1]PUE!$I21</f>
        <v>1.1146890497940996</v>
      </c>
      <c r="X21" s="7">
        <f>1+($B21-1)*(X$1-$B$1)^[1]PUE!$I21</f>
        <v>1.1118160212320745</v>
      </c>
      <c r="Y21" s="7">
        <f>1+($B21-1)*(Y$1-$B$1)^[1]PUE!$I21</f>
        <v>1.1091379934991707</v>
      </c>
      <c r="Z21" s="7">
        <f>1+($B21-1)*(Z$1-$B$1)^[1]PUE!$I21</f>
        <v>1.1066340825238492</v>
      </c>
      <c r="AA21" s="7">
        <f>1+($B21-1)*(AA$1-$B$1)^[1]PUE!$I21</f>
        <v>1.1042863939716381</v>
      </c>
      <c r="AB21" s="7">
        <f>1+($B21-1)*(AB$1-$B$1)^[1]PUE!$I21</f>
        <v>1.1020794957820759</v>
      </c>
      <c r="AC21" s="7">
        <f>1+($B21-1)*(AC$1-$B$1)^[1]PUE!$I21</f>
        <v>1.1000000000000001</v>
      </c>
      <c r="AD21" s="8" t="s">
        <v>3</v>
      </c>
    </row>
    <row r="22" spans="1:30" ht="15" x14ac:dyDescent="0.25">
      <c r="A22" s="2" t="s">
        <v>11</v>
      </c>
      <c r="B22" s="7">
        <v>1.3788870113166367</v>
      </c>
      <c r="C22" s="7">
        <f>1+($B22-1)*(C$1-$B$1)^[1]PUE!$I22</f>
        <v>1.3788870113166367</v>
      </c>
      <c r="D22" s="7">
        <f>1+($B22-1)*(D$1-$B$1)^[1]PUE!$I22</f>
        <v>1.2863145286428119</v>
      </c>
      <c r="E22" s="7">
        <f>1+($B22-1)*(E$1-$B$1)^[1]PUE!$I22</f>
        <v>1.243037419282546</v>
      </c>
      <c r="F22" s="7">
        <f>1+($B22-1)*(F$1-$B$1)^[1]PUE!$I22</f>
        <v>1.216360041024072</v>
      </c>
      <c r="G22" s="7">
        <f>1+($B22-1)*(G$1-$B$1)^[1]PUE!$I22</f>
        <v>1.197701172472815</v>
      </c>
      <c r="H22" s="7">
        <f>1+($B22-1)*(H$1-$B$1)^[1]PUE!$I22</f>
        <v>1.1836567157650466</v>
      </c>
      <c r="I22" s="7">
        <f>1+($B22-1)*(I$1-$B$1)^[1]PUE!$I22</f>
        <v>1.1725635807007802</v>
      </c>
      <c r="J22" s="7">
        <f>1+($B22-1)*(J$1-$B$1)^[1]PUE!$I22</f>
        <v>1.1634973522784009</v>
      </c>
      <c r="K22" s="7">
        <f>1+($B22-1)*(K$1-$B$1)^[1]PUE!$I22</f>
        <v>1.1558965744596545</v>
      </c>
      <c r="L22" s="7">
        <f>1+($B22-1)*(L$1-$B$1)^[1]PUE!$I22</f>
        <v>1.1493973567792235</v>
      </c>
      <c r="M22" s="7">
        <f>1+($B22-1)*(M$1-$B$1)^[1]PUE!$I22</f>
        <v>1.1437518241843398</v>
      </c>
      <c r="N22" s="7">
        <f>1+($B22-1)*(N$1-$B$1)^[1]PUE!$I22</f>
        <v>1.1387843458228553</v>
      </c>
      <c r="O22" s="7">
        <f>1+($B22-1)*(O$1-$B$1)^[1]PUE!$I22</f>
        <v>1.1343664345733924</v>
      </c>
      <c r="P22" s="7">
        <f>1+($B22-1)*(P$1-$B$1)^[1]PUE!$I22</f>
        <v>1.1304015677327344</v>
      </c>
      <c r="Q22" s="7">
        <f>1+($B22-1)*(Q$1-$B$1)^[1]PUE!$I22</f>
        <v>1.1268155975575842</v>
      </c>
      <c r="R22" s="7">
        <f>1+($B22-1)*(R$1-$B$1)^[1]PUE!$I22</f>
        <v>1.123550467431615</v>
      </c>
      <c r="S22" s="7">
        <f>1+($B22-1)*(S$1-$B$1)^[1]PUE!$I22</f>
        <v>1.1205599640522788</v>
      </c>
      <c r="T22" s="7">
        <f>1+($B22-1)*(T$1-$B$1)^[1]PUE!$I22</f>
        <v>1.1178067679816637</v>
      </c>
      <c r="U22" s="7">
        <f>1+($B22-1)*(U$1-$B$1)^[1]PUE!$I22</f>
        <v>1.1152603573884816</v>
      </c>
      <c r="V22" s="7">
        <f>1+($B22-1)*(V$1-$B$1)^[1]PUE!$I22</f>
        <v>1.1128954873329731</v>
      </c>
      <c r="W22" s="7">
        <f>1+($B22-1)*(W$1-$B$1)^[1]PUE!$I22</f>
        <v>1.110691066368132</v>
      </c>
      <c r="X22" s="7">
        <f>1+($B22-1)*(X$1-$B$1)^[1]PUE!$I22</f>
        <v>1.1086293131027594</v>
      </c>
      <c r="Y22" s="7">
        <f>1+($B22-1)*(Y$1-$B$1)^[1]PUE!$I22</f>
        <v>1.1066951136839589</v>
      </c>
      <c r="Z22" s="7">
        <f>1+($B22-1)*(Z$1-$B$1)^[1]PUE!$I22</f>
        <v>1.1048755258703349</v>
      </c>
      <c r="AA22" s="7">
        <f>1+($B22-1)*(AA$1-$B$1)^[1]PUE!$I22</f>
        <v>1.1031593916648192</v>
      </c>
      <c r="AB22" s="7">
        <f>1+($B22-1)*(AB$1-$B$1)^[1]PUE!$I22</f>
        <v>1.1015370314400821</v>
      </c>
      <c r="AC22" s="7">
        <f>1+($B22-1)*(AC$1-$B$1)^[1]PUE!$I22</f>
        <v>1.1000000000000001</v>
      </c>
      <c r="AD22" s="8" t="s">
        <v>3</v>
      </c>
    </row>
    <row r="23" spans="1:30" ht="15" x14ac:dyDescent="0.25">
      <c r="A23" s="2" t="s">
        <v>5</v>
      </c>
      <c r="B23" s="7">
        <v>1.502598155702122</v>
      </c>
      <c r="C23" s="7">
        <f>1+($B23-1)*(C$1-$B$1)^[1]PUE!$I23</f>
        <v>1.502598155702122</v>
      </c>
      <c r="D23" s="7">
        <f>1+($B23-1)*(D$1-$B$1)^[1]PUE!$I23</f>
        <v>1.3578880378903873</v>
      </c>
      <c r="E23" s="7">
        <f>1+($B23-1)*(E$1-$B$1)^[1]PUE!$I23</f>
        <v>1.2934138390301237</v>
      </c>
      <c r="F23" s="7">
        <f>1+($B23-1)*(F$1-$B$1)^[1]PUE!$I23</f>
        <v>1.2548434494076088</v>
      </c>
      <c r="G23" s="7">
        <f>1+($B23-1)*(G$1-$B$1)^[1]PUE!$I23</f>
        <v>1.2284533574227205</v>
      </c>
      <c r="H23" s="7">
        <f>1+($B23-1)*(H$1-$B$1)^[1]PUE!$I23</f>
        <v>1.2089329257360297</v>
      </c>
      <c r="I23" s="7">
        <f>1+($B23-1)*(I$1-$B$1)^[1]PUE!$I23</f>
        <v>1.1937357868046241</v>
      </c>
      <c r="J23" s="7">
        <f>1+($B23-1)*(J$1-$B$1)^[1]PUE!$I23</f>
        <v>1.1814678805382697</v>
      </c>
      <c r="K23" s="7">
        <f>1+($B23-1)*(K$1-$B$1)^[1]PUE!$I23</f>
        <v>1.1712932687031583</v>
      </c>
      <c r="L23" s="7">
        <f>1+($B23-1)*(L$1-$B$1)^[1]PUE!$I23</f>
        <v>1.1626761318359202</v>
      </c>
      <c r="M23" s="7">
        <f>1+($B23-1)*(M$1-$B$1)^[1]PUE!$I23</f>
        <v>1.1552550311031016</v>
      </c>
      <c r="N23" s="7">
        <f>1+($B23-1)*(N$1-$B$1)^[1]PUE!$I23</f>
        <v>1.1487761027254599</v>
      </c>
      <c r="O23" s="7">
        <f>1+($B23-1)*(O$1-$B$1)^[1]PUE!$I23</f>
        <v>1.1430550931563883</v>
      </c>
      <c r="P23" s="7">
        <f>1+($B23-1)*(P$1-$B$1)^[1]PUE!$I23</f>
        <v>1.1379545862276321</v>
      </c>
      <c r="Q23" s="7">
        <f>1+($B23-1)*(Q$1-$B$1)^[1]PUE!$I23</f>
        <v>1.133369722670549</v>
      </c>
      <c r="R23" s="7">
        <f>1+($B23-1)*(R$1-$B$1)^[1]PUE!$I23</f>
        <v>1.1292189057384046</v>
      </c>
      <c r="S23" s="7">
        <f>1+($B23-1)*(S$1-$B$1)^[1]PUE!$I23</f>
        <v>1.1254375576676086</v>
      </c>
      <c r="T23" s="7">
        <f>1+($B23-1)*(T$1-$B$1)^[1]PUE!$I23</f>
        <v>1.1219738097812233</v>
      </c>
      <c r="U23" s="7">
        <f>1+($B23-1)*(U$1-$B$1)^[1]PUE!$I23</f>
        <v>1.1187854560211565</v>
      </c>
      <c r="V23" s="7">
        <f>1+($B23-1)*(V$1-$B$1)^[1]PUE!$I23</f>
        <v>1.1158377542253874</v>
      </c>
      <c r="W23" s="7">
        <f>1+($B23-1)*(W$1-$B$1)^[1]PUE!$I23</f>
        <v>1.1131018097041265</v>
      </c>
      <c r="X23" s="7">
        <f>1+($B23-1)*(X$1-$B$1)^[1]PUE!$I23</f>
        <v>1.1105533671855166</v>
      </c>
      <c r="Y23" s="7">
        <f>1+($B23-1)*(Y$1-$B$1)^[1]PUE!$I23</f>
        <v>1.1081718945248291</v>
      </c>
      <c r="Z23" s="7">
        <f>1+($B23-1)*(Z$1-$B$1)^[1]PUE!$I23</f>
        <v>1.1059398783805938</v>
      </c>
      <c r="AA23" s="7">
        <f>1+($B23-1)*(AA$1-$B$1)^[1]PUE!$I23</f>
        <v>1.1038422762312037</v>
      </c>
      <c r="AB23" s="7">
        <f>1+($B23-1)*(AB$1-$B$1)^[1]PUE!$I23</f>
        <v>1.1018660852991868</v>
      </c>
      <c r="AC23" s="7">
        <f>1+($B23-1)*(AC$1-$B$1)^[1]PUE!$I23</f>
        <v>1.1000000000000001</v>
      </c>
      <c r="AD23" s="8" t="s">
        <v>3</v>
      </c>
    </row>
    <row r="24" spans="1:30" ht="15" x14ac:dyDescent="0.25">
      <c r="A24" s="2" t="s">
        <v>27</v>
      </c>
      <c r="B24" s="7">
        <v>1.5829922955696267</v>
      </c>
      <c r="C24" s="7">
        <f>1+($B24-1)*(C$1-$B$1)^[1]PUE!$I24</f>
        <v>1.5829922955696267</v>
      </c>
      <c r="D24" s="7">
        <f>1+($B24-1)*(D$1-$B$1)^[1]PUE!$I24</f>
        <v>1.4023799493497728</v>
      </c>
      <c r="E24" s="7">
        <f>1+($B24-1)*(E$1-$B$1)^[1]PUE!$I24</f>
        <v>1.3239230678662295</v>
      </c>
      <c r="F24" s="7">
        <f>1+($B24-1)*(F$1-$B$1)^[1]PUE!$I24</f>
        <v>1.2777217209715062</v>
      </c>
      <c r="G24" s="7">
        <f>1+($B24-1)*(G$1-$B$1)^[1]PUE!$I24</f>
        <v>1.2464738781985341</v>
      </c>
      <c r="H24" s="7">
        <f>1+($B24-1)*(H$1-$B$1)^[1]PUE!$I24</f>
        <v>1.2235709607686744</v>
      </c>
      <c r="I24" s="7">
        <f>1+($B24-1)*(I$1-$B$1)^[1]PUE!$I24</f>
        <v>1.2058753372029218</v>
      </c>
      <c r="J24" s="7">
        <f>1+($B24-1)*(J$1-$B$1)^[1]PUE!$I24</f>
        <v>1.1916828967845257</v>
      </c>
      <c r="K24" s="7">
        <f>1+($B24-1)*(K$1-$B$1)^[1]PUE!$I24</f>
        <v>1.1799786286941396</v>
      </c>
      <c r="L24" s="7">
        <f>1+($B24-1)*(L$1-$B$1)^[1]PUE!$I24</f>
        <v>1.1701157071529835</v>
      </c>
      <c r="M24" s="7">
        <f>1+($B24-1)*(M$1-$B$1)^[1]PUE!$I24</f>
        <v>1.1616600489162163</v>
      </c>
      <c r="N24" s="7">
        <f>1+($B24-1)*(N$1-$B$1)^[1]PUE!$I24</f>
        <v>1.154308165912006</v>
      </c>
      <c r="O24" s="7">
        <f>1+($B24-1)*(O$1-$B$1)^[1]PUE!$I24</f>
        <v>1.147840703012085</v>
      </c>
      <c r="P24" s="7">
        <f>1+($B24-1)*(P$1-$B$1)^[1]PUE!$I24</f>
        <v>1.1420946869891964</v>
      </c>
      <c r="Q24" s="7">
        <f>1+($B24-1)*(Q$1-$B$1)^[1]PUE!$I24</f>
        <v>1.1369461918822585</v>
      </c>
      <c r="R24" s="7">
        <f>1+($B24-1)*(R$1-$B$1)^[1]PUE!$I24</f>
        <v>1.1322990970644202</v>
      </c>
      <c r="S24" s="7">
        <f>1+($B24-1)*(S$1-$B$1)^[1]PUE!$I24</f>
        <v>1.1280775603243871</v>
      </c>
      <c r="T24" s="7">
        <f>1+($B24-1)*(T$1-$B$1)^[1]PUE!$I24</f>
        <v>1.1242208379910579</v>
      </c>
      <c r="U24" s="7">
        <f>1+($B24-1)*(U$1-$B$1)^[1]PUE!$I24</f>
        <v>1.1206796340158063</v>
      </c>
      <c r="V24" s="7">
        <f>1+($B24-1)*(V$1-$B$1)^[1]PUE!$I24</f>
        <v>1.117413472095607</v>
      </c>
      <c r="W24" s="7">
        <f>1+($B24-1)*(W$1-$B$1)^[1]PUE!$I24</f>
        <v>1.1143887686536338</v>
      </c>
      <c r="X24" s="7">
        <f>1+($B24-1)*(X$1-$B$1)^[1]PUE!$I24</f>
        <v>1.1115773961150404</v>
      </c>
      <c r="Y24" s="7">
        <f>1+($B24-1)*(Y$1-$B$1)^[1]PUE!$I24</f>
        <v>1.1089555956555157</v>
      </c>
      <c r="Z24" s="7">
        <f>1+($B24-1)*(Z$1-$B$1)^[1]PUE!$I24</f>
        <v>1.1065031432761256</v>
      </c>
      <c r="AA24" s="7">
        <f>1+($B24-1)*(AA$1-$B$1)^[1]PUE!$I24</f>
        <v>1.1042027023270851</v>
      </c>
      <c r="AB24" s="7">
        <f>1+($B24-1)*(AB$1-$B$1)^[1]PUE!$I24</f>
        <v>1.1020393151709034</v>
      </c>
      <c r="AC24" s="7">
        <f>1+($B24-1)*(AC$1-$B$1)^[1]PUE!$I24</f>
        <v>1.1000000000000001</v>
      </c>
      <c r="AD24" s="8" t="s">
        <v>3</v>
      </c>
    </row>
    <row r="25" spans="1:30" ht="15" x14ac:dyDescent="0.25">
      <c r="A25" s="2" t="s">
        <v>10</v>
      </c>
      <c r="B25" s="7">
        <v>1.6006301650037311</v>
      </c>
      <c r="C25" s="7">
        <f>1+($B25-1)*(C$1-$B$1)^[1]PUE!$I25</f>
        <v>1.6006301650037311</v>
      </c>
      <c r="D25" s="7">
        <f>1+($B25-1)*(D$1-$B$1)^[1]PUE!$I25</f>
        <v>1.4119631175938083</v>
      </c>
      <c r="E25" s="7">
        <f>1+($B25-1)*(E$1-$B$1)^[1]PUE!$I25</f>
        <v>1.3304238798826671</v>
      </c>
      <c r="F25" s="7">
        <f>1+($B25-1)*(F$1-$B$1)^[1]PUE!$I25</f>
        <v>1.2825592521756806</v>
      </c>
      <c r="G25" s="7">
        <f>1+($B25-1)*(G$1-$B$1)^[1]PUE!$I25</f>
        <v>1.2502615857636457</v>
      </c>
      <c r="H25" s="7">
        <f>1+($B25-1)*(H$1-$B$1)^[1]PUE!$I25</f>
        <v>1.2266327261186756</v>
      </c>
      <c r="I25" s="7">
        <f>1+($B25-1)*(I$1-$B$1)^[1]PUE!$I25</f>
        <v>1.2084040381980199</v>
      </c>
      <c r="J25" s="7">
        <f>1+($B25-1)*(J$1-$B$1)^[1]PUE!$I25</f>
        <v>1.1938031041623514</v>
      </c>
      <c r="K25" s="7">
        <f>1+($B25-1)*(K$1-$B$1)^[1]PUE!$I25</f>
        <v>1.1817756529028756</v>
      </c>
      <c r="L25" s="7">
        <f>1+($B25-1)*(L$1-$B$1)^[1]PUE!$I25</f>
        <v>1.1716506247809269</v>
      </c>
      <c r="M25" s="7">
        <f>1+($B25-1)*(M$1-$B$1)^[1]PUE!$I25</f>
        <v>1.1629781377281028</v>
      </c>
      <c r="N25" s="7">
        <f>1+($B25-1)*(N$1-$B$1)^[1]PUE!$I25</f>
        <v>1.1554439484404737</v>
      </c>
      <c r="O25" s="7">
        <f>1+($B25-1)*(O$1-$B$1)^[1]PUE!$I25</f>
        <v>1.148821118095908</v>
      </c>
      <c r="P25" s="7">
        <f>1+($B25-1)*(P$1-$B$1)^[1]PUE!$I25</f>
        <v>1.1429411679559285</v>
      </c>
      <c r="Q25" s="7">
        <f>1+($B25-1)*(Q$1-$B$1)^[1]PUE!$I25</f>
        <v>1.1376760758479372</v>
      </c>
      <c r="R25" s="7">
        <f>1+($B25-1)*(R$1-$B$1)^[1]PUE!$I25</f>
        <v>1.1329266088218928</v>
      </c>
      <c r="S25" s="7">
        <f>1+($B25-1)*(S$1-$B$1)^[1]PUE!$I25</f>
        <v>1.1286145165827071</v>
      </c>
      <c r="T25" s="7">
        <f>1+($B25-1)*(T$1-$B$1)^[1]PUE!$I25</f>
        <v>1.1246771624799321</v>
      </c>
      <c r="U25" s="7">
        <f>1+($B25-1)*(U$1-$B$1)^[1]PUE!$I25</f>
        <v>1.1210637414647435</v>
      </c>
      <c r="V25" s="7">
        <f>1+($B25-1)*(V$1-$B$1)^[1]PUE!$I25</f>
        <v>1.1177325593050034</v>
      </c>
      <c r="W25" s="7">
        <f>1+($B25-1)*(W$1-$B$1)^[1]PUE!$I25</f>
        <v>1.114649038454766</v>
      </c>
      <c r="X25" s="7">
        <f>1+($B25-1)*(X$1-$B$1)^[1]PUE!$I25</f>
        <v>1.1117842320118656</v>
      </c>
      <c r="Y25" s="7">
        <f>1+($B25-1)*(Y$1-$B$1)^[1]PUE!$I25</f>
        <v>1.1091136996595652</v>
      </c>
      <c r="Z25" s="7">
        <f>1+($B25-1)*(Z$1-$B$1)^[1]PUE!$I25</f>
        <v>1.1066166458859605</v>
      </c>
      <c r="AA25" s="7">
        <f>1+($B25-1)*(AA$1-$B$1)^[1]PUE!$I25</f>
        <v>1.1042752511581657</v>
      </c>
      <c r="AB25" s="7">
        <f>1+($B25-1)*(AB$1-$B$1)^[1]PUE!$I25</f>
        <v>1.1020741470322353</v>
      </c>
      <c r="AC25" s="7">
        <f>1+($B25-1)*(AC$1-$B$1)^[1]PUE!$I25</f>
        <v>1.1000000000000001</v>
      </c>
      <c r="AD25" s="8" t="s">
        <v>3</v>
      </c>
    </row>
    <row r="26" spans="1:30" ht="15" x14ac:dyDescent="0.25">
      <c r="A26" s="2" t="s">
        <v>30</v>
      </c>
      <c r="B26" s="7">
        <v>1.616404751027867</v>
      </c>
      <c r="C26" s="7">
        <f>1+($B26-1)*(C$1-$B$1)^[1]PUE!$I26</f>
        <v>1.616404751027867</v>
      </c>
      <c r="D26" s="7">
        <f>1+($B26-1)*(D$1-$B$1)^[1]PUE!$I26</f>
        <v>1.4204838583242498</v>
      </c>
      <c r="E26" s="7">
        <f>1+($B26-1)*(E$1-$B$1)^[1]PUE!$I26</f>
        <v>1.3361842152540964</v>
      </c>
      <c r="F26" s="7">
        <f>1+($B26-1)*(F$1-$B$1)^[1]PUE!$I26</f>
        <v>1.2868353542318083</v>
      </c>
      <c r="G26" s="7">
        <f>1+($B26-1)*(G$1-$B$1)^[1]PUE!$I26</f>
        <v>1.2536033951866794</v>
      </c>
      <c r="H26" s="7">
        <f>1+($B26-1)*(H$1-$B$1)^[1]PUE!$I26</f>
        <v>1.2293298935513264</v>
      </c>
      <c r="I26" s="7">
        <f>1+($B26-1)*(I$1-$B$1)^[1]PUE!$I26</f>
        <v>1.2106287186266163</v>
      </c>
      <c r="J26" s="7">
        <f>1+($B26-1)*(J$1-$B$1)^[1]PUE!$I26</f>
        <v>1.1956662992134222</v>
      </c>
      <c r="K26" s="7">
        <f>1+($B26-1)*(K$1-$B$1)^[1]PUE!$I26</f>
        <v>1.1833532697428919</v>
      </c>
      <c r="L26" s="7">
        <f>1+($B26-1)*(L$1-$B$1)^[1]PUE!$I26</f>
        <v>1.1729969373441826</v>
      </c>
      <c r="M26" s="7">
        <f>1+($B26-1)*(M$1-$B$1)^[1]PUE!$I26</f>
        <v>1.1641333335393664</v>
      </c>
      <c r="N26" s="7">
        <f>1+($B26-1)*(N$1-$B$1)^[1]PUE!$I26</f>
        <v>1.1564386359916161</v>
      </c>
      <c r="O26" s="7">
        <f>1+($B26-1)*(O$1-$B$1)^[1]PUE!$I26</f>
        <v>1.1496791582824744</v>
      </c>
      <c r="P26" s="7">
        <f>1+($B26-1)*(P$1-$B$1)^[1]PUE!$I26</f>
        <v>1.1436815276558574</v>
      </c>
      <c r="Q26" s="7">
        <f>1+($B26-1)*(Q$1-$B$1)^[1]PUE!$I26</f>
        <v>1.1383140838133383</v>
      </c>
      <c r="R26" s="7">
        <f>1+($B26-1)*(R$1-$B$1)^[1]PUE!$I26</f>
        <v>1.1334748317563947</v>
      </c>
      <c r="S26" s="7">
        <f>1+($B26-1)*(S$1-$B$1)^[1]PUE!$I26</f>
        <v>1.1290833857368661</v>
      </c>
      <c r="T26" s="7">
        <f>1+($B26-1)*(T$1-$B$1)^[1]PUE!$I26</f>
        <v>1.1250754316369191</v>
      </c>
      <c r="U26" s="7">
        <f>1+($B26-1)*(U$1-$B$1)^[1]PUE!$I26</f>
        <v>1.1213988281104643</v>
      </c>
      <c r="V26" s="7">
        <f>1+($B26-1)*(V$1-$B$1)^[1]PUE!$I26</f>
        <v>1.1180108030826514</v>
      </c>
      <c r="W26" s="7">
        <f>1+($B26-1)*(W$1-$B$1)^[1]PUE!$I26</f>
        <v>1.1148758999073054</v>
      </c>
      <c r="X26" s="7">
        <f>1+($B26-1)*(X$1-$B$1)^[1]PUE!$I26</f>
        <v>1.1119644474692469</v>
      </c>
      <c r="Y26" s="7">
        <f>1+($B26-1)*(Y$1-$B$1)^[1]PUE!$I26</f>
        <v>1.1092514034143204</v>
      </c>
      <c r="Z26" s="7">
        <f>1+($B26-1)*(Z$1-$B$1)^[1]PUE!$I26</f>
        <v>1.106715467625855</v>
      </c>
      <c r="AA26" s="7">
        <f>1+($B26-1)*(AA$1-$B$1)^[1]PUE!$I26</f>
        <v>1.1043383944445029</v>
      </c>
      <c r="AB26" s="7">
        <f>1+($B26-1)*(AB$1-$B$1)^[1]PUE!$I26</f>
        <v>1.1021044530892909</v>
      </c>
      <c r="AC26" s="7">
        <f>1+($B26-1)*(AC$1-$B$1)^[1]PUE!$I26</f>
        <v>1.1000000000000001</v>
      </c>
      <c r="AD26" s="8" t="s">
        <v>3</v>
      </c>
    </row>
    <row r="27" spans="1:30" ht="15" x14ac:dyDescent="0.25">
      <c r="A27" s="2" t="s">
        <v>23</v>
      </c>
      <c r="B27" s="7">
        <v>1.5349723473945722</v>
      </c>
      <c r="C27" s="7">
        <f>1+($B27-1)*(C$1-$B$1)^[1]PUE!$I27</f>
        <v>1.5349723473945722</v>
      </c>
      <c r="D27" s="7">
        <f>1+($B27-1)*(D$1-$B$1)^[1]PUE!$I27</f>
        <v>1.3759724573873942</v>
      </c>
      <c r="E27" s="7">
        <f>1+($B27-1)*(E$1-$B$1)^[1]PUE!$I27</f>
        <v>1.305882212372224</v>
      </c>
      <c r="F27" s="7">
        <f>1+($B27-1)*(F$1-$B$1)^[1]PUE!$I27</f>
        <v>1.2642291501651364</v>
      </c>
      <c r="G27" s="7">
        <f>1+($B27-1)*(G$1-$B$1)^[1]PUE!$I27</f>
        <v>1.2358681465994694</v>
      </c>
      <c r="H27" s="7">
        <f>1+($B27-1)*(H$1-$B$1)^[1]PUE!$I27</f>
        <v>1.2149705262650827</v>
      </c>
      <c r="I27" s="7">
        <f>1+($B27-1)*(I$1-$B$1)^[1]PUE!$I27</f>
        <v>1.1987530917347859</v>
      </c>
      <c r="J27" s="7">
        <f>1+($B27-1)*(J$1-$B$1)^[1]PUE!$I27</f>
        <v>1.1856972297442847</v>
      </c>
      <c r="K27" s="7">
        <f>1+($B27-1)*(K$1-$B$1)^[1]PUE!$I27</f>
        <v>1.1748948862523501</v>
      </c>
      <c r="L27" s="7">
        <f>1+($B27-1)*(L$1-$B$1)^[1]PUE!$I27</f>
        <v>1.1657654402667774</v>
      </c>
      <c r="M27" s="7">
        <f>1+($B27-1)*(M$1-$B$1)^[1]PUE!$I27</f>
        <v>1.1579180772374185</v>
      </c>
      <c r="N27" s="7">
        <f>1+($B27-1)*(N$1-$B$1)^[1]PUE!$I27</f>
        <v>1.1510788313066451</v>
      </c>
      <c r="O27" s="7">
        <f>1+($B27-1)*(O$1-$B$1)^[1]PUE!$I27</f>
        <v>1.1450492070122265</v>
      </c>
      <c r="P27" s="7">
        <f>1+($B27-1)*(P$1-$B$1)^[1]PUE!$I27</f>
        <v>1.1396814034908522</v>
      </c>
      <c r="Q27" s="7">
        <f>1+($B27-1)*(Q$1-$B$1)^[1]PUE!$I27</f>
        <v>1.1348628033978898</v>
      </c>
      <c r="R27" s="7">
        <f>1+($B27-1)*(R$1-$B$1)^[1]PUE!$I27</f>
        <v>1.1305058927569132</v>
      </c>
      <c r="S27" s="7">
        <f>1+($B27-1)*(S$1-$B$1)^[1]PUE!$I27</f>
        <v>1.1265414989751739</v>
      </c>
      <c r="T27" s="7">
        <f>1+($B27-1)*(T$1-$B$1)^[1]PUE!$I27</f>
        <v>1.1229141290928937</v>
      </c>
      <c r="U27" s="7">
        <f>1+($B27-1)*(U$1-$B$1)^[1]PUE!$I27</f>
        <v>1.1195786785837853</v>
      </c>
      <c r="V27" s="7">
        <f>1+($B27-1)*(V$1-$B$1)^[1]PUE!$I27</f>
        <v>1.1164980586950539</v>
      </c>
      <c r="W27" s="7">
        <f>1+($B27-1)*(W$1-$B$1)^[1]PUE!$I27</f>
        <v>1.1136414540148487</v>
      </c>
      <c r="X27" s="7">
        <f>1+($B27-1)*(X$1-$B$1)^[1]PUE!$I27</f>
        <v>1.1109830215599046</v>
      </c>
      <c r="Y27" s="7">
        <f>1+($B27-1)*(Y$1-$B$1)^[1]PUE!$I27</f>
        <v>1.1085009049993777</v>
      </c>
      <c r="Z27" s="7">
        <f>1+($B27-1)*(Z$1-$B$1)^[1]PUE!$I27</f>
        <v>1.1061764776108711</v>
      </c>
      <c r="AA27" s="7">
        <f>1+($B27-1)*(AA$1-$B$1)^[1]PUE!$I27</f>
        <v>1.1039937537916062</v>
      </c>
      <c r="AB27" s="7">
        <f>1+($B27-1)*(AB$1-$B$1)^[1]PUE!$I27</f>
        <v>1.1019389265035364</v>
      </c>
      <c r="AC27" s="7">
        <f>1+($B27-1)*(AC$1-$B$1)^[1]PUE!$I27</f>
        <v>1.1000000000000001</v>
      </c>
      <c r="AD27" s="8" t="s">
        <v>3</v>
      </c>
    </row>
    <row r="28" spans="1:30" ht="15" x14ac:dyDescent="0.25">
      <c r="A28" s="2" t="s">
        <v>7</v>
      </c>
      <c r="B28" s="7">
        <v>1.5999999999999999</v>
      </c>
      <c r="C28" s="7">
        <f>1+($B28-1)*(C$1-$B$1)^[1]PUE!$I28</f>
        <v>1.5999999999999999</v>
      </c>
      <c r="D28" s="7">
        <f>1+($B28-1)*(D$1-$B$1)^[1]PUE!$I28</f>
        <v>1.4116217595881715</v>
      </c>
      <c r="E28" s="7">
        <f>1+($B28-1)*(E$1-$B$1)^[1]PUE!$I28</f>
        <v>1.3301927248894627</v>
      </c>
      <c r="F28" s="7">
        <f>1+($B28-1)*(F$1-$B$1)^[1]PUE!$I28</f>
        <v>1.2823874549441041</v>
      </c>
      <c r="G28" s="7">
        <f>1+($B28-1)*(G$1-$B$1)^[1]PUE!$I28</f>
        <v>1.2501272018619041</v>
      </c>
      <c r="H28" s="7">
        <f>1+($B28-1)*(H$1-$B$1)^[1]PUE!$I28</f>
        <v>1.2265241840370229</v>
      </c>
      <c r="I28" s="7">
        <f>1+($B28-1)*(I$1-$B$1)^[1]PUE!$I28</f>
        <v>1.2083144538119284</v>
      </c>
      <c r="J28" s="7">
        <f>1+($B28-1)*(J$1-$B$1)^[1]PUE!$I28</f>
        <v>1.1937280351495294</v>
      </c>
      <c r="K28" s="7">
        <f>1+($B28-1)*(K$1-$B$1)^[1]PUE!$I28</f>
        <v>1.181712059283214</v>
      </c>
      <c r="L28" s="7">
        <f>1+($B28-1)*(L$1-$B$1)^[1]PUE!$I28</f>
        <v>1.1715963315854379</v>
      </c>
      <c r="M28" s="7">
        <f>1+($B28-1)*(M$1-$B$1)^[1]PUE!$I28</f>
        <v>1.16293153356676</v>
      </c>
      <c r="N28" s="7">
        <f>1+($B28-1)*(N$1-$B$1)^[1]PUE!$I28</f>
        <v>1.1554038053709903</v>
      </c>
      <c r="O28" s="7">
        <f>1+($B28-1)*(O$1-$B$1)^[1]PUE!$I28</f>
        <v>1.1487864784125839</v>
      </c>
      <c r="P28" s="7">
        <f>1+($B28-1)*(P$1-$B$1)^[1]PUE!$I28</f>
        <v>1.1429112700428581</v>
      </c>
      <c r="Q28" s="7">
        <f>1+($B28-1)*(Q$1-$B$1)^[1]PUE!$I28</f>
        <v>1.137650303919598</v>
      </c>
      <c r="R28" s="7">
        <f>1+($B28-1)*(R$1-$B$1)^[1]PUE!$I28</f>
        <v>1.1329044578496807</v>
      </c>
      <c r="S28" s="7">
        <f>1+($B28-1)*(S$1-$B$1)^[1]PUE!$I28</f>
        <v>1.1285955672001462</v>
      </c>
      <c r="T28" s="7">
        <f>1+($B28-1)*(T$1-$B$1)^[1]PUE!$I28</f>
        <v>1.1246610626342446</v>
      </c>
      <c r="U28" s="7">
        <f>1+($B28-1)*(U$1-$B$1)^[1]PUE!$I28</f>
        <v>1.1210501927439578</v>
      </c>
      <c r="V28" s="7">
        <f>1+($B28-1)*(V$1-$B$1)^[1]PUE!$I28</f>
        <v>1.1177213065767888</v>
      </c>
      <c r="W28" s="7">
        <f>1+($B28-1)*(W$1-$B$1)^[1]PUE!$I28</f>
        <v>1.1146398618967013</v>
      </c>
      <c r="X28" s="7">
        <f>1+($B28-1)*(X$1-$B$1)^[1]PUE!$I28</f>
        <v>1.1117769408985816</v>
      </c>
      <c r="Y28" s="7">
        <f>1+($B28-1)*(Y$1-$B$1)^[1]PUE!$I28</f>
        <v>1.1091081274606962</v>
      </c>
      <c r="Z28" s="7">
        <f>1+($B28-1)*(Z$1-$B$1)^[1]PUE!$I28</f>
        <v>1.1066126463558412</v>
      </c>
      <c r="AA28" s="7">
        <f>1+($B28-1)*(AA$1-$B$1)^[1]PUE!$I28</f>
        <v>1.1042726951854429</v>
      </c>
      <c r="AB28" s="7">
        <f>1+($B28-1)*(AB$1-$B$1)^[1]PUE!$I28</f>
        <v>1.1020729200785255</v>
      </c>
      <c r="AC28" s="7">
        <f>1+($B28-1)*(AC$1-$B$1)^[1]PUE!$I28</f>
        <v>1.1000000000000001</v>
      </c>
      <c r="AD28" s="8" t="s">
        <v>3</v>
      </c>
    </row>
    <row r="29" spans="1:30" ht="15" x14ac:dyDescent="0.25">
      <c r="A29" s="2" t="s">
        <v>22</v>
      </c>
      <c r="B29" s="7">
        <v>1.6</v>
      </c>
      <c r="C29" s="7">
        <f>1+($B29-1)*(C$1-$B$1)^[1]PUE!$I29</f>
        <v>1.6</v>
      </c>
      <c r="D29" s="7">
        <f>1+($B29-1)*(D$1-$B$1)^[1]PUE!$I29</f>
        <v>1.4116217595881715</v>
      </c>
      <c r="E29" s="7">
        <f>1+($B29-1)*(E$1-$B$1)^[1]PUE!$I29</f>
        <v>1.3301927248894627</v>
      </c>
      <c r="F29" s="7">
        <f>1+($B29-1)*(F$1-$B$1)^[1]PUE!$I29</f>
        <v>1.2823874549441041</v>
      </c>
      <c r="G29" s="7">
        <f>1+($B29-1)*(G$1-$B$1)^[1]PUE!$I29</f>
        <v>1.2501272018619041</v>
      </c>
      <c r="H29" s="7">
        <f>1+($B29-1)*(H$1-$B$1)^[1]PUE!$I29</f>
        <v>1.2265241840370229</v>
      </c>
      <c r="I29" s="7">
        <f>1+($B29-1)*(I$1-$B$1)^[1]PUE!$I29</f>
        <v>1.2083144538119284</v>
      </c>
      <c r="J29" s="7">
        <f>1+($B29-1)*(J$1-$B$1)^[1]PUE!$I29</f>
        <v>1.1937280351495294</v>
      </c>
      <c r="K29" s="7">
        <f>1+($B29-1)*(K$1-$B$1)^[1]PUE!$I29</f>
        <v>1.181712059283214</v>
      </c>
      <c r="L29" s="7">
        <f>1+($B29-1)*(L$1-$B$1)^[1]PUE!$I29</f>
        <v>1.1715963315854379</v>
      </c>
      <c r="M29" s="7">
        <f>1+($B29-1)*(M$1-$B$1)^[1]PUE!$I29</f>
        <v>1.1629315335667598</v>
      </c>
      <c r="N29" s="7">
        <f>1+($B29-1)*(N$1-$B$1)^[1]PUE!$I29</f>
        <v>1.1554038053709903</v>
      </c>
      <c r="O29" s="7">
        <f>1+($B29-1)*(O$1-$B$1)^[1]PUE!$I29</f>
        <v>1.1487864784125839</v>
      </c>
      <c r="P29" s="7">
        <f>1+($B29-1)*(P$1-$B$1)^[1]PUE!$I29</f>
        <v>1.1429112700428581</v>
      </c>
      <c r="Q29" s="7">
        <f>1+($B29-1)*(Q$1-$B$1)^[1]PUE!$I29</f>
        <v>1.137650303919598</v>
      </c>
      <c r="R29" s="7">
        <f>1+($B29-1)*(R$1-$B$1)^[1]PUE!$I29</f>
        <v>1.1329044578496807</v>
      </c>
      <c r="S29" s="7">
        <f>1+($B29-1)*(S$1-$B$1)^[1]PUE!$I29</f>
        <v>1.1285955672001462</v>
      </c>
      <c r="T29" s="7">
        <f>1+($B29-1)*(T$1-$B$1)^[1]PUE!$I29</f>
        <v>1.1246610626342446</v>
      </c>
      <c r="U29" s="7">
        <f>1+($B29-1)*(U$1-$B$1)^[1]PUE!$I29</f>
        <v>1.1210501927439578</v>
      </c>
      <c r="V29" s="7">
        <f>1+($B29-1)*(V$1-$B$1)^[1]PUE!$I29</f>
        <v>1.1177213065767888</v>
      </c>
      <c r="W29" s="7">
        <f>1+($B29-1)*(W$1-$B$1)^[1]PUE!$I29</f>
        <v>1.1146398618967013</v>
      </c>
      <c r="X29" s="7">
        <f>1+($B29-1)*(X$1-$B$1)^[1]PUE!$I29</f>
        <v>1.1117769408985816</v>
      </c>
      <c r="Y29" s="7">
        <f>1+($B29-1)*(Y$1-$B$1)^[1]PUE!$I29</f>
        <v>1.1091081274606962</v>
      </c>
      <c r="Z29" s="7">
        <f>1+($B29-1)*(Z$1-$B$1)^[1]PUE!$I29</f>
        <v>1.1066126463558412</v>
      </c>
      <c r="AA29" s="7">
        <f>1+($B29-1)*(AA$1-$B$1)^[1]PUE!$I29</f>
        <v>1.1042726951854429</v>
      </c>
      <c r="AB29" s="7">
        <f>1+($B29-1)*(AB$1-$B$1)^[1]PUE!$I29</f>
        <v>1.1020729200785255</v>
      </c>
      <c r="AC29" s="7">
        <f>1+($B29-1)*(AC$1-$B$1)^[1]PUE!$I29</f>
        <v>1.1000000000000001</v>
      </c>
      <c r="AD29" s="8" t="s">
        <v>3</v>
      </c>
    </row>
    <row r="30" spans="1:30" ht="15" x14ac:dyDescent="0.25">
      <c r="A30" s="6" t="s">
        <v>21</v>
      </c>
      <c r="B30" s="7">
        <v>1.6</v>
      </c>
      <c r="C30" s="7">
        <f>1+($B30-1)*(C$1-$B$1)^[1]PUE!$I30</f>
        <v>1.6</v>
      </c>
      <c r="D30" s="7">
        <f>1+($B30-1)*(D$1-$B$1)^[1]PUE!$I30</f>
        <v>1.4116217595881715</v>
      </c>
      <c r="E30" s="7">
        <f>1+($B30-1)*(E$1-$B$1)^[1]PUE!$I30</f>
        <v>1.3301927248894627</v>
      </c>
      <c r="F30" s="7">
        <f>1+($B30-1)*(F$1-$B$1)^[1]PUE!$I30</f>
        <v>1.2823874549441041</v>
      </c>
      <c r="G30" s="7">
        <f>1+($B30-1)*(G$1-$B$1)^[1]PUE!$I30</f>
        <v>1.2501272018619041</v>
      </c>
      <c r="H30" s="7">
        <f>1+($B30-1)*(H$1-$B$1)^[1]PUE!$I30</f>
        <v>1.2265241840370229</v>
      </c>
      <c r="I30" s="7">
        <f>1+($B30-1)*(I$1-$B$1)^[1]PUE!$I30</f>
        <v>1.2083144538119284</v>
      </c>
      <c r="J30" s="7">
        <f>1+($B30-1)*(J$1-$B$1)^[1]PUE!$I30</f>
        <v>1.1937280351495294</v>
      </c>
      <c r="K30" s="7">
        <f>1+($B30-1)*(K$1-$B$1)^[1]PUE!$I30</f>
        <v>1.181712059283214</v>
      </c>
      <c r="L30" s="7">
        <f>1+($B30-1)*(L$1-$B$1)^[1]PUE!$I30</f>
        <v>1.1715963315854379</v>
      </c>
      <c r="M30" s="7">
        <f>1+($B30-1)*(M$1-$B$1)^[1]PUE!$I30</f>
        <v>1.1629315335667598</v>
      </c>
      <c r="N30" s="7">
        <f>1+($B30-1)*(N$1-$B$1)^[1]PUE!$I30</f>
        <v>1.1554038053709903</v>
      </c>
      <c r="O30" s="7">
        <f>1+($B30-1)*(O$1-$B$1)^[1]PUE!$I30</f>
        <v>1.1487864784125839</v>
      </c>
      <c r="P30" s="7">
        <f>1+($B30-1)*(P$1-$B$1)^[1]PUE!$I30</f>
        <v>1.1429112700428581</v>
      </c>
      <c r="Q30" s="7">
        <f>1+($B30-1)*(Q$1-$B$1)^[1]PUE!$I30</f>
        <v>1.137650303919598</v>
      </c>
      <c r="R30" s="7">
        <f>1+($B30-1)*(R$1-$B$1)^[1]PUE!$I30</f>
        <v>1.1329044578496807</v>
      </c>
      <c r="S30" s="7">
        <f>1+($B30-1)*(S$1-$B$1)^[1]PUE!$I30</f>
        <v>1.1285955672001462</v>
      </c>
      <c r="T30" s="7">
        <f>1+($B30-1)*(T$1-$B$1)^[1]PUE!$I30</f>
        <v>1.1246610626342446</v>
      </c>
      <c r="U30" s="7">
        <f>1+($B30-1)*(U$1-$B$1)^[1]PUE!$I30</f>
        <v>1.1210501927439578</v>
      </c>
      <c r="V30" s="7">
        <f>1+($B30-1)*(V$1-$B$1)^[1]PUE!$I30</f>
        <v>1.1177213065767888</v>
      </c>
      <c r="W30" s="7">
        <f>1+($B30-1)*(W$1-$B$1)^[1]PUE!$I30</f>
        <v>1.1146398618967013</v>
      </c>
      <c r="X30" s="7">
        <f>1+($B30-1)*(X$1-$B$1)^[1]PUE!$I30</f>
        <v>1.1117769408985816</v>
      </c>
      <c r="Y30" s="7">
        <f>1+($B30-1)*(Y$1-$B$1)^[1]PUE!$I30</f>
        <v>1.1091081274606962</v>
      </c>
      <c r="Z30" s="7">
        <f>1+($B30-1)*(Z$1-$B$1)^[1]PUE!$I30</f>
        <v>1.1066126463558412</v>
      </c>
      <c r="AA30" s="7">
        <f>1+($B30-1)*(AA$1-$B$1)^[1]PUE!$I30</f>
        <v>1.1042726951854429</v>
      </c>
      <c r="AB30" s="7">
        <f>1+($B30-1)*(AB$1-$B$1)^[1]PUE!$I30</f>
        <v>1.1020729200785255</v>
      </c>
      <c r="AC30" s="7">
        <f>1+($B30-1)*(AC$1-$B$1)^[1]PUE!$I30</f>
        <v>1.1000000000000001</v>
      </c>
      <c r="AD30" s="8" t="s">
        <v>3</v>
      </c>
    </row>
    <row r="31" spans="1:30" ht="15" x14ac:dyDescent="0.25">
      <c r="A31" s="2" t="s">
        <v>29</v>
      </c>
      <c r="B31" s="7">
        <v>1.6019052924791088</v>
      </c>
      <c r="C31" s="7">
        <f>1+($B31-1)*(C$1-$B$1)^[1]PUE!$I31</f>
        <v>1.6019052924791088</v>
      </c>
      <c r="D31" s="7">
        <f>1+($B31-1)*(D$1-$B$1)^[1]PUE!$I31</f>
        <v>1.4126536190567478</v>
      </c>
      <c r="E31" s="7">
        <f>1+($B31-1)*(E$1-$B$1)^[1]PUE!$I31</f>
        <v>1.3308913706975869</v>
      </c>
      <c r="F31" s="7">
        <f>1+($B31-1)*(F$1-$B$1)^[1]PUE!$I31</f>
        <v>1.282906649016617</v>
      </c>
      <c r="G31" s="7">
        <f>1+($B31-1)*(G$1-$B$1)^[1]PUE!$I31</f>
        <v>1.2505332987113005</v>
      </c>
      <c r="H31" s="7">
        <f>1+($B31-1)*(H$1-$B$1)^[1]PUE!$I31</f>
        <v>1.2268521698332573</v>
      </c>
      <c r="I31" s="7">
        <f>1+($B31-1)*(I$1-$B$1)^[1]PUE!$I31</f>
        <v>1.2085851409789206</v>
      </c>
      <c r="J31" s="7">
        <f>1+($B31-1)*(J$1-$B$1)^[1]PUE!$I31</f>
        <v>1.1939548530817681</v>
      </c>
      <c r="K31" s="7">
        <f>1+($B31-1)*(K$1-$B$1)^[1]PUE!$I31</f>
        <v>1.181904197504507</v>
      </c>
      <c r="L31" s="7">
        <f>1+($B31-1)*(L$1-$B$1)^[1]PUE!$I31</f>
        <v>1.171760364461377</v>
      </c>
      <c r="M31" s="7">
        <f>1+($B31-1)*(M$1-$B$1)^[1]PUE!$I31</f>
        <v>1.1630723316923519</v>
      </c>
      <c r="N31" s="7">
        <f>1+($B31-1)*(N$1-$B$1)^[1]PUE!$I31</f>
        <v>1.1555250801783217</v>
      </c>
      <c r="O31" s="7">
        <f>1+($B31-1)*(O$1-$B$1)^[1]PUE!$I31</f>
        <v>1.1488911244393185</v>
      </c>
      <c r="P31" s="7">
        <f>1+($B31-1)*(P$1-$B$1)^[1]PUE!$I31</f>
        <v>1.1430015890903651</v>
      </c>
      <c r="Q31" s="7">
        <f>1+($B31-1)*(Q$1-$B$1)^[1]PUE!$I31</f>
        <v>1.1377281569904911</v>
      </c>
      <c r="R31" s="7">
        <f>1+($B31-1)*(R$1-$B$1)^[1]PUE!$I31</f>
        <v>1.1329713711739613</v>
      </c>
      <c r="S31" s="7">
        <f>1+($B31-1)*(S$1-$B$1)^[1]PUE!$I31</f>
        <v>1.1286528080938831</v>
      </c>
      <c r="T31" s="7">
        <f>1+($B31-1)*(T$1-$B$1)^[1]PUE!$I31</f>
        <v>1.1247096949632713</v>
      </c>
      <c r="U31" s="7">
        <f>1+($B31-1)*(U$1-$B$1)^[1]PUE!$I31</f>
        <v>1.1210911182532726</v>
      </c>
      <c r="V31" s="7">
        <f>1+($B31-1)*(V$1-$B$1)^[1]PUE!$I31</f>
        <v>1.1177552962087525</v>
      </c>
      <c r="W31" s="7">
        <f>1+($B31-1)*(W$1-$B$1)^[1]PUE!$I31</f>
        <v>1.1146675798802019</v>
      </c>
      <c r="X31" s="7">
        <f>1+($B31-1)*(X$1-$B$1)^[1]PUE!$I31</f>
        <v>1.1117989635274839</v>
      </c>
      <c r="Y31" s="7">
        <f>1+($B31-1)*(Y$1-$B$1)^[1]PUE!$I31</f>
        <v>1.1091249579100433</v>
      </c>
      <c r="Z31" s="7">
        <f>1+($B31-1)*(Z$1-$B$1)^[1]PUE!$I31</f>
        <v>1.106624726500312</v>
      </c>
      <c r="AA31" s="7">
        <f>1+($B31-1)*(AA$1-$B$1)^[1]PUE!$I31</f>
        <v>1.1042804151208627</v>
      </c>
      <c r="AB31" s="7">
        <f>1+($B31-1)*(AB$1-$B$1)^[1]PUE!$I31</f>
        <v>1.1020766258629398</v>
      </c>
      <c r="AC31" s="7">
        <f>1+($B31-1)*(AC$1-$B$1)^[1]PUE!$I31</f>
        <v>1.1000000000000001</v>
      </c>
      <c r="AD31" s="8" t="s">
        <v>3</v>
      </c>
    </row>
    <row r="32" spans="1:30" ht="15" x14ac:dyDescent="0.25">
      <c r="A32" s="2" t="s">
        <v>33</v>
      </c>
      <c r="B32" s="7">
        <v>1.6</v>
      </c>
      <c r="C32" s="7">
        <f>1+($B32-1)*(C$1-$B$1)^[1]PUE!$I32</f>
        <v>1.6</v>
      </c>
      <c r="D32" s="7">
        <f>1+($B32-1)*(D$1-$B$1)^[1]PUE!$I32</f>
        <v>1.4116217595881715</v>
      </c>
      <c r="E32" s="7">
        <f>1+($B32-1)*(E$1-$B$1)^[1]PUE!$I32</f>
        <v>1.3301927248894627</v>
      </c>
      <c r="F32" s="7">
        <f>1+($B32-1)*(F$1-$B$1)^[1]PUE!$I32</f>
        <v>1.2823874549441041</v>
      </c>
      <c r="G32" s="7">
        <f>1+($B32-1)*(G$1-$B$1)^[1]PUE!$I32</f>
        <v>1.2501272018619041</v>
      </c>
      <c r="H32" s="7">
        <f>1+($B32-1)*(H$1-$B$1)^[1]PUE!$I32</f>
        <v>1.2265241840370229</v>
      </c>
      <c r="I32" s="7">
        <f>1+($B32-1)*(I$1-$B$1)^[1]PUE!$I32</f>
        <v>1.2083144538119284</v>
      </c>
      <c r="J32" s="7">
        <f>1+($B32-1)*(J$1-$B$1)^[1]PUE!$I32</f>
        <v>1.1937280351495294</v>
      </c>
      <c r="K32" s="7">
        <f>1+($B32-1)*(K$1-$B$1)^[1]PUE!$I32</f>
        <v>1.181712059283214</v>
      </c>
      <c r="L32" s="7">
        <f>1+($B32-1)*(L$1-$B$1)^[1]PUE!$I32</f>
        <v>1.1715963315854379</v>
      </c>
      <c r="M32" s="7">
        <f>1+($B32-1)*(M$1-$B$1)^[1]PUE!$I32</f>
        <v>1.1629315335667598</v>
      </c>
      <c r="N32" s="7">
        <f>1+($B32-1)*(N$1-$B$1)^[1]PUE!$I32</f>
        <v>1.1554038053709903</v>
      </c>
      <c r="O32" s="7">
        <f>1+($B32-1)*(O$1-$B$1)^[1]PUE!$I32</f>
        <v>1.1487864784125839</v>
      </c>
      <c r="P32" s="7">
        <f>1+($B32-1)*(P$1-$B$1)^[1]PUE!$I32</f>
        <v>1.1429112700428581</v>
      </c>
      <c r="Q32" s="7">
        <f>1+($B32-1)*(Q$1-$B$1)^[1]PUE!$I32</f>
        <v>1.137650303919598</v>
      </c>
      <c r="R32" s="7">
        <f>1+($B32-1)*(R$1-$B$1)^[1]PUE!$I32</f>
        <v>1.1329044578496807</v>
      </c>
      <c r="S32" s="7">
        <f>1+($B32-1)*(S$1-$B$1)^[1]PUE!$I32</f>
        <v>1.1285955672001462</v>
      </c>
      <c r="T32" s="7">
        <f>1+($B32-1)*(T$1-$B$1)^[1]PUE!$I32</f>
        <v>1.1246610626342446</v>
      </c>
      <c r="U32" s="7">
        <f>1+($B32-1)*(U$1-$B$1)^[1]PUE!$I32</f>
        <v>1.1210501927439578</v>
      </c>
      <c r="V32" s="7">
        <f>1+($B32-1)*(V$1-$B$1)^[1]PUE!$I32</f>
        <v>1.1177213065767888</v>
      </c>
      <c r="W32" s="7">
        <f>1+($B32-1)*(W$1-$B$1)^[1]PUE!$I32</f>
        <v>1.1146398618967013</v>
      </c>
      <c r="X32" s="7">
        <f>1+($B32-1)*(X$1-$B$1)^[1]PUE!$I32</f>
        <v>1.1117769408985816</v>
      </c>
      <c r="Y32" s="7">
        <f>1+($B32-1)*(Y$1-$B$1)^[1]PUE!$I32</f>
        <v>1.1091081274606962</v>
      </c>
      <c r="Z32" s="7">
        <f>1+($B32-1)*(Z$1-$B$1)^[1]PUE!$I32</f>
        <v>1.1066126463558412</v>
      </c>
      <c r="AA32" s="7">
        <f>1+($B32-1)*(AA$1-$B$1)^[1]PUE!$I32</f>
        <v>1.1042726951854429</v>
      </c>
      <c r="AB32" s="7">
        <f>1+($B32-1)*(AB$1-$B$1)^[1]PUE!$I32</f>
        <v>1.1020729200785255</v>
      </c>
      <c r="AC32" s="7">
        <f>1+($B32-1)*(AC$1-$B$1)^[1]PUE!$I32</f>
        <v>1.1000000000000001</v>
      </c>
      <c r="AD32" s="8" t="s">
        <v>3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848B-A8C0-4CE9-93F8-450862301417}">
  <dimension ref="A1:AC32"/>
  <sheetViews>
    <sheetView tabSelected="1" zoomScale="115" zoomScaleNormal="115" workbookViewId="0">
      <selection activeCell="J40" sqref="J40"/>
    </sheetView>
  </sheetViews>
  <sheetFormatPr defaultRowHeight="13.5" x14ac:dyDescent="0.15"/>
  <sheetData>
    <row r="1" spans="1:29" ht="15" x14ac:dyDescent="0.25">
      <c r="A1" s="1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</row>
    <row r="2" spans="1:29" x14ac:dyDescent="0.15">
      <c r="A2" s="2" t="s">
        <v>4</v>
      </c>
      <c r="B2" s="1">
        <v>1</v>
      </c>
      <c r="C2" s="9">
        <f>B2*1.04</f>
        <v>1.04</v>
      </c>
      <c r="D2" s="9">
        <f t="shared" ref="D2:AC12" si="0">C2*1.04</f>
        <v>1.0816000000000001</v>
      </c>
      <c r="E2" s="9">
        <f t="shared" si="0"/>
        <v>1.1248640000000001</v>
      </c>
      <c r="F2" s="9">
        <f t="shared" si="0"/>
        <v>1.1698585600000002</v>
      </c>
      <c r="G2" s="9">
        <f t="shared" si="0"/>
        <v>1.2166529024000003</v>
      </c>
      <c r="H2" s="9">
        <f t="shared" si="0"/>
        <v>1.2653190184960004</v>
      </c>
      <c r="I2" s="9">
        <f t="shared" si="0"/>
        <v>1.3159317792358405</v>
      </c>
      <c r="J2" s="9">
        <f t="shared" si="0"/>
        <v>1.3685690504052741</v>
      </c>
      <c r="K2" s="9">
        <f t="shared" si="0"/>
        <v>1.4233118124214852</v>
      </c>
      <c r="L2" s="9">
        <f t="shared" si="0"/>
        <v>1.4802442849183446</v>
      </c>
      <c r="M2" s="9">
        <f t="shared" si="0"/>
        <v>1.5394540563150785</v>
      </c>
      <c r="N2" s="9">
        <f t="shared" si="0"/>
        <v>1.6010322185676817</v>
      </c>
      <c r="O2" s="9">
        <f t="shared" si="0"/>
        <v>1.6650735073103891</v>
      </c>
      <c r="P2" s="9">
        <f t="shared" si="0"/>
        <v>1.7316764476028046</v>
      </c>
      <c r="Q2" s="9">
        <f t="shared" si="0"/>
        <v>1.8009435055069167</v>
      </c>
      <c r="R2" s="9">
        <f t="shared" si="0"/>
        <v>1.8729812457271935</v>
      </c>
      <c r="S2" s="9">
        <f t="shared" si="0"/>
        <v>1.9479004955562813</v>
      </c>
      <c r="T2" s="9">
        <f t="shared" si="0"/>
        <v>2.0258165153785326</v>
      </c>
      <c r="U2" s="9">
        <f t="shared" si="0"/>
        <v>2.1068491759936738</v>
      </c>
      <c r="V2" s="9">
        <f t="shared" si="0"/>
        <v>2.1911231430334208</v>
      </c>
      <c r="W2" s="9">
        <f t="shared" si="0"/>
        <v>2.2787680687547578</v>
      </c>
      <c r="X2" s="9">
        <f t="shared" si="0"/>
        <v>2.369918791504948</v>
      </c>
      <c r="Y2" s="9">
        <f t="shared" si="0"/>
        <v>2.4647155431651462</v>
      </c>
      <c r="Z2" s="9">
        <f t="shared" si="0"/>
        <v>2.5633041648917523</v>
      </c>
      <c r="AA2" s="9">
        <f t="shared" si="0"/>
        <v>2.6658363314874225</v>
      </c>
      <c r="AB2" s="9">
        <f t="shared" si="0"/>
        <v>2.7724697847469195</v>
      </c>
      <c r="AC2" s="9">
        <f t="shared" si="0"/>
        <v>2.8833685761367964</v>
      </c>
    </row>
    <row r="3" spans="1:29" x14ac:dyDescent="0.15">
      <c r="A3" s="2" t="s">
        <v>28</v>
      </c>
      <c r="B3" s="1">
        <v>1</v>
      </c>
      <c r="C3" s="9">
        <f t="shared" ref="C3:R18" si="1">B3*1.04</f>
        <v>1.04</v>
      </c>
      <c r="D3" s="9">
        <f t="shared" si="1"/>
        <v>1.0816000000000001</v>
      </c>
      <c r="E3" s="9">
        <f t="shared" si="1"/>
        <v>1.1248640000000001</v>
      </c>
      <c r="F3" s="9">
        <f t="shared" si="1"/>
        <v>1.1698585600000002</v>
      </c>
      <c r="G3" s="9">
        <f t="shared" si="1"/>
        <v>1.2166529024000003</v>
      </c>
      <c r="H3" s="9">
        <f t="shared" si="1"/>
        <v>1.2653190184960004</v>
      </c>
      <c r="I3" s="9">
        <f t="shared" si="1"/>
        <v>1.3159317792358405</v>
      </c>
      <c r="J3" s="9">
        <f t="shared" si="1"/>
        <v>1.3685690504052741</v>
      </c>
      <c r="K3" s="9">
        <f t="shared" si="1"/>
        <v>1.4233118124214852</v>
      </c>
      <c r="L3" s="9">
        <f t="shared" si="1"/>
        <v>1.4802442849183446</v>
      </c>
      <c r="M3" s="9">
        <f t="shared" si="1"/>
        <v>1.5394540563150785</v>
      </c>
      <c r="N3" s="9">
        <f t="shared" si="1"/>
        <v>1.6010322185676817</v>
      </c>
      <c r="O3" s="9">
        <f t="shared" si="1"/>
        <v>1.6650735073103891</v>
      </c>
      <c r="P3" s="9">
        <f t="shared" si="1"/>
        <v>1.7316764476028046</v>
      </c>
      <c r="Q3" s="9">
        <f t="shared" si="1"/>
        <v>1.8009435055069167</v>
      </c>
      <c r="R3" s="9">
        <f t="shared" si="1"/>
        <v>1.8729812457271935</v>
      </c>
      <c r="S3" s="9">
        <f t="shared" si="0"/>
        <v>1.9479004955562813</v>
      </c>
      <c r="T3" s="9">
        <f t="shared" si="0"/>
        <v>2.0258165153785326</v>
      </c>
      <c r="U3" s="9">
        <f t="shared" si="0"/>
        <v>2.1068491759936738</v>
      </c>
      <c r="V3" s="9">
        <f t="shared" si="0"/>
        <v>2.1911231430334208</v>
      </c>
      <c r="W3" s="9">
        <f t="shared" si="0"/>
        <v>2.2787680687547578</v>
      </c>
      <c r="X3" s="9">
        <f t="shared" si="0"/>
        <v>2.369918791504948</v>
      </c>
      <c r="Y3" s="9">
        <f t="shared" si="0"/>
        <v>2.4647155431651462</v>
      </c>
      <c r="Z3" s="9">
        <f t="shared" si="0"/>
        <v>2.5633041648917523</v>
      </c>
      <c r="AA3" s="9">
        <f t="shared" si="0"/>
        <v>2.6658363314874225</v>
      </c>
      <c r="AB3" s="9">
        <f t="shared" si="0"/>
        <v>2.7724697847469195</v>
      </c>
      <c r="AC3" s="9">
        <f t="shared" si="0"/>
        <v>2.8833685761367964</v>
      </c>
    </row>
    <row r="4" spans="1:29" x14ac:dyDescent="0.15">
      <c r="A4" s="2" t="s">
        <v>12</v>
      </c>
      <c r="B4" s="1">
        <v>1</v>
      </c>
      <c r="C4" s="9">
        <f t="shared" si="1"/>
        <v>1.04</v>
      </c>
      <c r="D4" s="9">
        <f t="shared" si="0"/>
        <v>1.0816000000000001</v>
      </c>
      <c r="E4" s="9">
        <f t="shared" si="0"/>
        <v>1.1248640000000001</v>
      </c>
      <c r="F4" s="9">
        <f t="shared" si="0"/>
        <v>1.1698585600000002</v>
      </c>
      <c r="G4" s="9">
        <f t="shared" si="0"/>
        <v>1.2166529024000003</v>
      </c>
      <c r="H4" s="9">
        <f t="shared" si="0"/>
        <v>1.2653190184960004</v>
      </c>
      <c r="I4" s="9">
        <f t="shared" si="0"/>
        <v>1.3159317792358405</v>
      </c>
      <c r="J4" s="9">
        <f t="shared" si="0"/>
        <v>1.3685690504052741</v>
      </c>
      <c r="K4" s="9">
        <f t="shared" si="0"/>
        <v>1.4233118124214852</v>
      </c>
      <c r="L4" s="9">
        <f t="shared" si="0"/>
        <v>1.4802442849183446</v>
      </c>
      <c r="M4" s="9">
        <f t="shared" si="0"/>
        <v>1.5394540563150785</v>
      </c>
      <c r="N4" s="9">
        <f t="shared" si="0"/>
        <v>1.6010322185676817</v>
      </c>
      <c r="O4" s="9">
        <f t="shared" si="0"/>
        <v>1.6650735073103891</v>
      </c>
      <c r="P4" s="9">
        <f t="shared" si="0"/>
        <v>1.7316764476028046</v>
      </c>
      <c r="Q4" s="9">
        <f t="shared" si="0"/>
        <v>1.8009435055069167</v>
      </c>
      <c r="R4" s="9">
        <f t="shared" si="0"/>
        <v>1.8729812457271935</v>
      </c>
      <c r="S4" s="9">
        <f t="shared" si="0"/>
        <v>1.9479004955562813</v>
      </c>
      <c r="T4" s="9">
        <f t="shared" si="0"/>
        <v>2.0258165153785326</v>
      </c>
      <c r="U4" s="9">
        <f t="shared" si="0"/>
        <v>2.1068491759936738</v>
      </c>
      <c r="V4" s="9">
        <f t="shared" si="0"/>
        <v>2.1911231430334208</v>
      </c>
      <c r="W4" s="9">
        <f t="shared" si="0"/>
        <v>2.2787680687547578</v>
      </c>
      <c r="X4" s="9">
        <f t="shared" si="0"/>
        <v>2.369918791504948</v>
      </c>
      <c r="Y4" s="9">
        <f t="shared" si="0"/>
        <v>2.4647155431651462</v>
      </c>
      <c r="Z4" s="9">
        <f t="shared" si="0"/>
        <v>2.5633041648917523</v>
      </c>
      <c r="AA4" s="9">
        <f t="shared" si="0"/>
        <v>2.6658363314874225</v>
      </c>
      <c r="AB4" s="9">
        <f t="shared" si="0"/>
        <v>2.7724697847469195</v>
      </c>
      <c r="AC4" s="9">
        <f t="shared" si="0"/>
        <v>2.8833685761367964</v>
      </c>
    </row>
    <row r="5" spans="1:29" x14ac:dyDescent="0.15">
      <c r="A5" s="2" t="s">
        <v>26</v>
      </c>
      <c r="B5" s="1">
        <v>1</v>
      </c>
      <c r="C5" s="9">
        <f t="shared" si="1"/>
        <v>1.04</v>
      </c>
      <c r="D5" s="9">
        <f t="shared" si="0"/>
        <v>1.0816000000000001</v>
      </c>
      <c r="E5" s="9">
        <f t="shared" si="0"/>
        <v>1.1248640000000001</v>
      </c>
      <c r="F5" s="9">
        <f t="shared" si="0"/>
        <v>1.1698585600000002</v>
      </c>
      <c r="G5" s="9">
        <f t="shared" si="0"/>
        <v>1.2166529024000003</v>
      </c>
      <c r="H5" s="9">
        <f t="shared" si="0"/>
        <v>1.2653190184960004</v>
      </c>
      <c r="I5" s="9">
        <f t="shared" si="0"/>
        <v>1.3159317792358405</v>
      </c>
      <c r="J5" s="9">
        <f t="shared" si="0"/>
        <v>1.3685690504052741</v>
      </c>
      <c r="K5" s="9">
        <f t="shared" si="0"/>
        <v>1.4233118124214852</v>
      </c>
      <c r="L5" s="9">
        <f t="shared" si="0"/>
        <v>1.4802442849183446</v>
      </c>
      <c r="M5" s="9">
        <f t="shared" si="0"/>
        <v>1.5394540563150785</v>
      </c>
      <c r="N5" s="9">
        <f t="shared" si="0"/>
        <v>1.6010322185676817</v>
      </c>
      <c r="O5" s="9">
        <f t="shared" si="0"/>
        <v>1.6650735073103891</v>
      </c>
      <c r="P5" s="9">
        <f t="shared" si="0"/>
        <v>1.7316764476028046</v>
      </c>
      <c r="Q5" s="9">
        <f t="shared" si="0"/>
        <v>1.8009435055069167</v>
      </c>
      <c r="R5" s="9">
        <f t="shared" si="0"/>
        <v>1.8729812457271935</v>
      </c>
      <c r="S5" s="9">
        <f t="shared" si="0"/>
        <v>1.9479004955562813</v>
      </c>
      <c r="T5" s="9">
        <f t="shared" si="0"/>
        <v>2.0258165153785326</v>
      </c>
      <c r="U5" s="9">
        <f t="shared" si="0"/>
        <v>2.1068491759936738</v>
      </c>
      <c r="V5" s="9">
        <f t="shared" si="0"/>
        <v>2.1911231430334208</v>
      </c>
      <c r="W5" s="9">
        <f t="shared" si="0"/>
        <v>2.2787680687547578</v>
      </c>
      <c r="X5" s="9">
        <f t="shared" si="0"/>
        <v>2.369918791504948</v>
      </c>
      <c r="Y5" s="9">
        <f t="shared" si="0"/>
        <v>2.4647155431651462</v>
      </c>
      <c r="Z5" s="9">
        <f t="shared" si="0"/>
        <v>2.5633041648917523</v>
      </c>
      <c r="AA5" s="9">
        <f t="shared" si="0"/>
        <v>2.6658363314874225</v>
      </c>
      <c r="AB5" s="9">
        <f t="shared" si="0"/>
        <v>2.7724697847469195</v>
      </c>
      <c r="AC5" s="9">
        <f t="shared" si="0"/>
        <v>2.8833685761367964</v>
      </c>
    </row>
    <row r="6" spans="1:29" x14ac:dyDescent="0.15">
      <c r="A6" s="2" t="s">
        <v>32</v>
      </c>
      <c r="B6" s="1">
        <v>1</v>
      </c>
      <c r="C6" s="9">
        <f t="shared" si="1"/>
        <v>1.04</v>
      </c>
      <c r="D6" s="9">
        <f t="shared" si="0"/>
        <v>1.0816000000000001</v>
      </c>
      <c r="E6" s="9">
        <f t="shared" si="0"/>
        <v>1.1248640000000001</v>
      </c>
      <c r="F6" s="9">
        <f t="shared" si="0"/>
        <v>1.1698585600000002</v>
      </c>
      <c r="G6" s="9">
        <f t="shared" si="0"/>
        <v>1.2166529024000003</v>
      </c>
      <c r="H6" s="9">
        <f t="shared" si="0"/>
        <v>1.2653190184960004</v>
      </c>
      <c r="I6" s="9">
        <f t="shared" si="0"/>
        <v>1.3159317792358405</v>
      </c>
      <c r="J6" s="9">
        <f t="shared" si="0"/>
        <v>1.3685690504052741</v>
      </c>
      <c r="K6" s="9">
        <f t="shared" si="0"/>
        <v>1.4233118124214852</v>
      </c>
      <c r="L6" s="9">
        <f t="shared" si="0"/>
        <v>1.4802442849183446</v>
      </c>
      <c r="M6" s="9">
        <f t="shared" si="0"/>
        <v>1.5394540563150785</v>
      </c>
      <c r="N6" s="9">
        <f t="shared" si="0"/>
        <v>1.6010322185676817</v>
      </c>
      <c r="O6" s="9">
        <f t="shared" si="0"/>
        <v>1.6650735073103891</v>
      </c>
      <c r="P6" s="9">
        <f t="shared" si="0"/>
        <v>1.7316764476028046</v>
      </c>
      <c r="Q6" s="9">
        <f t="shared" si="0"/>
        <v>1.8009435055069167</v>
      </c>
      <c r="R6" s="9">
        <f t="shared" si="0"/>
        <v>1.8729812457271935</v>
      </c>
      <c r="S6" s="9">
        <f t="shared" si="0"/>
        <v>1.9479004955562813</v>
      </c>
      <c r="T6" s="9">
        <f t="shared" si="0"/>
        <v>2.0258165153785326</v>
      </c>
      <c r="U6" s="9">
        <f t="shared" si="0"/>
        <v>2.1068491759936738</v>
      </c>
      <c r="V6" s="9">
        <f t="shared" si="0"/>
        <v>2.1911231430334208</v>
      </c>
      <c r="W6" s="9">
        <f t="shared" si="0"/>
        <v>2.2787680687547578</v>
      </c>
      <c r="X6" s="9">
        <f t="shared" si="0"/>
        <v>2.369918791504948</v>
      </c>
      <c r="Y6" s="9">
        <f t="shared" si="0"/>
        <v>2.4647155431651462</v>
      </c>
      <c r="Z6" s="9">
        <f t="shared" si="0"/>
        <v>2.5633041648917523</v>
      </c>
      <c r="AA6" s="9">
        <f t="shared" si="0"/>
        <v>2.6658363314874225</v>
      </c>
      <c r="AB6" s="9">
        <f t="shared" si="0"/>
        <v>2.7724697847469195</v>
      </c>
      <c r="AC6" s="9">
        <f t="shared" si="0"/>
        <v>2.8833685761367964</v>
      </c>
    </row>
    <row r="7" spans="1:29" x14ac:dyDescent="0.15">
      <c r="A7" s="2" t="s">
        <v>20</v>
      </c>
      <c r="B7" s="1">
        <v>1</v>
      </c>
      <c r="C7" s="9">
        <f t="shared" si="1"/>
        <v>1.04</v>
      </c>
      <c r="D7" s="9">
        <f t="shared" si="0"/>
        <v>1.0816000000000001</v>
      </c>
      <c r="E7" s="9">
        <f t="shared" si="0"/>
        <v>1.1248640000000001</v>
      </c>
      <c r="F7" s="9">
        <f t="shared" si="0"/>
        <v>1.1698585600000002</v>
      </c>
      <c r="G7" s="9">
        <f t="shared" si="0"/>
        <v>1.2166529024000003</v>
      </c>
      <c r="H7" s="9">
        <f t="shared" si="0"/>
        <v>1.2653190184960004</v>
      </c>
      <c r="I7" s="9">
        <f t="shared" si="0"/>
        <v>1.3159317792358405</v>
      </c>
      <c r="J7" s="9">
        <f t="shared" si="0"/>
        <v>1.3685690504052741</v>
      </c>
      <c r="K7" s="9">
        <f t="shared" si="0"/>
        <v>1.4233118124214852</v>
      </c>
      <c r="L7" s="9">
        <f t="shared" si="0"/>
        <v>1.4802442849183446</v>
      </c>
      <c r="M7" s="9">
        <f t="shared" si="0"/>
        <v>1.5394540563150785</v>
      </c>
      <c r="N7" s="9">
        <f t="shared" si="0"/>
        <v>1.6010322185676817</v>
      </c>
      <c r="O7" s="9">
        <f t="shared" si="0"/>
        <v>1.6650735073103891</v>
      </c>
      <c r="P7" s="9">
        <f t="shared" si="0"/>
        <v>1.7316764476028046</v>
      </c>
      <c r="Q7" s="9">
        <f t="shared" si="0"/>
        <v>1.8009435055069167</v>
      </c>
      <c r="R7" s="9">
        <f t="shared" si="0"/>
        <v>1.8729812457271935</v>
      </c>
      <c r="S7" s="9">
        <f t="shared" si="0"/>
        <v>1.9479004955562813</v>
      </c>
      <c r="T7" s="9">
        <f t="shared" si="0"/>
        <v>2.0258165153785326</v>
      </c>
      <c r="U7" s="9">
        <f t="shared" si="0"/>
        <v>2.1068491759936738</v>
      </c>
      <c r="V7" s="9">
        <f t="shared" si="0"/>
        <v>2.1911231430334208</v>
      </c>
      <c r="W7" s="9">
        <f t="shared" si="0"/>
        <v>2.2787680687547578</v>
      </c>
      <c r="X7" s="9">
        <f t="shared" si="0"/>
        <v>2.369918791504948</v>
      </c>
      <c r="Y7" s="9">
        <f t="shared" si="0"/>
        <v>2.4647155431651462</v>
      </c>
      <c r="Z7" s="9">
        <f t="shared" si="0"/>
        <v>2.5633041648917523</v>
      </c>
      <c r="AA7" s="9">
        <f t="shared" si="0"/>
        <v>2.6658363314874225</v>
      </c>
      <c r="AB7" s="9">
        <f t="shared" si="0"/>
        <v>2.7724697847469195</v>
      </c>
      <c r="AC7" s="9">
        <f t="shared" si="0"/>
        <v>2.8833685761367964</v>
      </c>
    </row>
    <row r="8" spans="1:29" x14ac:dyDescent="0.15">
      <c r="A8" s="2" t="s">
        <v>19</v>
      </c>
      <c r="B8" s="1">
        <v>1</v>
      </c>
      <c r="C8" s="9">
        <f t="shared" si="1"/>
        <v>1.04</v>
      </c>
      <c r="D8" s="9">
        <f t="shared" si="0"/>
        <v>1.0816000000000001</v>
      </c>
      <c r="E8" s="9">
        <f t="shared" si="0"/>
        <v>1.1248640000000001</v>
      </c>
      <c r="F8" s="9">
        <f t="shared" si="0"/>
        <v>1.1698585600000002</v>
      </c>
      <c r="G8" s="9">
        <f t="shared" si="0"/>
        <v>1.2166529024000003</v>
      </c>
      <c r="H8" s="9">
        <f t="shared" si="0"/>
        <v>1.2653190184960004</v>
      </c>
      <c r="I8" s="9">
        <f t="shared" si="0"/>
        <v>1.3159317792358405</v>
      </c>
      <c r="J8" s="9">
        <f t="shared" si="0"/>
        <v>1.3685690504052741</v>
      </c>
      <c r="K8" s="9">
        <f t="shared" si="0"/>
        <v>1.4233118124214852</v>
      </c>
      <c r="L8" s="9">
        <f t="shared" si="0"/>
        <v>1.4802442849183446</v>
      </c>
      <c r="M8" s="9">
        <f t="shared" si="0"/>
        <v>1.5394540563150785</v>
      </c>
      <c r="N8" s="9">
        <f t="shared" si="0"/>
        <v>1.6010322185676817</v>
      </c>
      <c r="O8" s="9">
        <f t="shared" si="0"/>
        <v>1.6650735073103891</v>
      </c>
      <c r="P8" s="9">
        <f t="shared" si="0"/>
        <v>1.7316764476028046</v>
      </c>
      <c r="Q8" s="9">
        <f t="shared" si="0"/>
        <v>1.8009435055069167</v>
      </c>
      <c r="R8" s="9">
        <f t="shared" si="0"/>
        <v>1.8729812457271935</v>
      </c>
      <c r="S8" s="9">
        <f t="shared" si="0"/>
        <v>1.9479004955562813</v>
      </c>
      <c r="T8" s="9">
        <f t="shared" si="0"/>
        <v>2.0258165153785326</v>
      </c>
      <c r="U8" s="9">
        <f t="shared" si="0"/>
        <v>2.1068491759936738</v>
      </c>
      <c r="V8" s="9">
        <f t="shared" si="0"/>
        <v>2.1911231430334208</v>
      </c>
      <c r="W8" s="9">
        <f t="shared" si="0"/>
        <v>2.2787680687547578</v>
      </c>
      <c r="X8" s="9">
        <f t="shared" si="0"/>
        <v>2.369918791504948</v>
      </c>
      <c r="Y8" s="9">
        <f t="shared" si="0"/>
        <v>2.4647155431651462</v>
      </c>
      <c r="Z8" s="9">
        <f t="shared" si="0"/>
        <v>2.5633041648917523</v>
      </c>
      <c r="AA8" s="9">
        <f t="shared" si="0"/>
        <v>2.6658363314874225</v>
      </c>
      <c r="AB8" s="9">
        <f t="shared" si="0"/>
        <v>2.7724697847469195</v>
      </c>
      <c r="AC8" s="9">
        <f t="shared" si="0"/>
        <v>2.8833685761367964</v>
      </c>
    </row>
    <row r="9" spans="1:29" x14ac:dyDescent="0.15">
      <c r="A9" s="2" t="s">
        <v>13</v>
      </c>
      <c r="B9" s="1">
        <v>1</v>
      </c>
      <c r="C9" s="9">
        <f t="shared" si="1"/>
        <v>1.04</v>
      </c>
      <c r="D9" s="9">
        <f t="shared" si="0"/>
        <v>1.0816000000000001</v>
      </c>
      <c r="E9" s="9">
        <f t="shared" si="0"/>
        <v>1.1248640000000001</v>
      </c>
      <c r="F9" s="9">
        <f t="shared" si="0"/>
        <v>1.1698585600000002</v>
      </c>
      <c r="G9" s="9">
        <f t="shared" si="0"/>
        <v>1.2166529024000003</v>
      </c>
      <c r="H9" s="9">
        <f t="shared" si="0"/>
        <v>1.2653190184960004</v>
      </c>
      <c r="I9" s="9">
        <f t="shared" si="0"/>
        <v>1.3159317792358405</v>
      </c>
      <c r="J9" s="9">
        <f t="shared" si="0"/>
        <v>1.3685690504052741</v>
      </c>
      <c r="K9" s="9">
        <f t="shared" si="0"/>
        <v>1.4233118124214852</v>
      </c>
      <c r="L9" s="9">
        <f t="shared" si="0"/>
        <v>1.4802442849183446</v>
      </c>
      <c r="M9" s="9">
        <f t="shared" si="0"/>
        <v>1.5394540563150785</v>
      </c>
      <c r="N9" s="9">
        <f t="shared" si="0"/>
        <v>1.6010322185676817</v>
      </c>
      <c r="O9" s="9">
        <f t="shared" si="0"/>
        <v>1.6650735073103891</v>
      </c>
      <c r="P9" s="9">
        <f t="shared" si="0"/>
        <v>1.7316764476028046</v>
      </c>
      <c r="Q9" s="9">
        <f t="shared" si="0"/>
        <v>1.8009435055069167</v>
      </c>
      <c r="R9" s="9">
        <f t="shared" si="0"/>
        <v>1.8729812457271935</v>
      </c>
      <c r="S9" s="9">
        <f t="shared" si="0"/>
        <v>1.9479004955562813</v>
      </c>
      <c r="T9" s="9">
        <f t="shared" si="0"/>
        <v>2.0258165153785326</v>
      </c>
      <c r="U9" s="9">
        <f t="shared" si="0"/>
        <v>2.1068491759936738</v>
      </c>
      <c r="V9" s="9">
        <f t="shared" si="0"/>
        <v>2.1911231430334208</v>
      </c>
      <c r="W9" s="9">
        <f t="shared" si="0"/>
        <v>2.2787680687547578</v>
      </c>
      <c r="X9" s="9">
        <f t="shared" si="0"/>
        <v>2.369918791504948</v>
      </c>
      <c r="Y9" s="9">
        <f t="shared" si="0"/>
        <v>2.4647155431651462</v>
      </c>
      <c r="Z9" s="9">
        <f t="shared" si="0"/>
        <v>2.5633041648917523</v>
      </c>
      <c r="AA9" s="9">
        <f t="shared" si="0"/>
        <v>2.6658363314874225</v>
      </c>
      <c r="AB9" s="9">
        <f t="shared" si="0"/>
        <v>2.7724697847469195</v>
      </c>
      <c r="AC9" s="9">
        <f t="shared" si="0"/>
        <v>2.8833685761367964</v>
      </c>
    </row>
    <row r="10" spans="1:29" x14ac:dyDescent="0.15">
      <c r="A10" s="2" t="s">
        <v>25</v>
      </c>
      <c r="B10" s="1">
        <v>1</v>
      </c>
      <c r="C10" s="9">
        <f t="shared" si="1"/>
        <v>1.04</v>
      </c>
      <c r="D10" s="9">
        <f t="shared" si="0"/>
        <v>1.0816000000000001</v>
      </c>
      <c r="E10" s="9">
        <f t="shared" si="0"/>
        <v>1.1248640000000001</v>
      </c>
      <c r="F10" s="9">
        <f t="shared" si="0"/>
        <v>1.1698585600000002</v>
      </c>
      <c r="G10" s="9">
        <f t="shared" si="0"/>
        <v>1.2166529024000003</v>
      </c>
      <c r="H10" s="9">
        <f t="shared" si="0"/>
        <v>1.2653190184960004</v>
      </c>
      <c r="I10" s="9">
        <f t="shared" si="0"/>
        <v>1.3159317792358405</v>
      </c>
      <c r="J10" s="9">
        <f t="shared" si="0"/>
        <v>1.3685690504052741</v>
      </c>
      <c r="K10" s="9">
        <f t="shared" si="0"/>
        <v>1.4233118124214852</v>
      </c>
      <c r="L10" s="9">
        <f t="shared" si="0"/>
        <v>1.4802442849183446</v>
      </c>
      <c r="M10" s="9">
        <f t="shared" si="0"/>
        <v>1.5394540563150785</v>
      </c>
      <c r="N10" s="9">
        <f t="shared" si="0"/>
        <v>1.6010322185676817</v>
      </c>
      <c r="O10" s="9">
        <f t="shared" si="0"/>
        <v>1.6650735073103891</v>
      </c>
      <c r="P10" s="9">
        <f t="shared" si="0"/>
        <v>1.7316764476028046</v>
      </c>
      <c r="Q10" s="9">
        <f t="shared" si="0"/>
        <v>1.8009435055069167</v>
      </c>
      <c r="R10" s="9">
        <f t="shared" si="0"/>
        <v>1.8729812457271935</v>
      </c>
      <c r="S10" s="9">
        <f t="shared" si="0"/>
        <v>1.9479004955562813</v>
      </c>
      <c r="T10" s="9">
        <f t="shared" si="0"/>
        <v>2.0258165153785326</v>
      </c>
      <c r="U10" s="9">
        <f t="shared" si="0"/>
        <v>2.1068491759936738</v>
      </c>
      <c r="V10" s="9">
        <f t="shared" si="0"/>
        <v>2.1911231430334208</v>
      </c>
      <c r="W10" s="9">
        <f t="shared" si="0"/>
        <v>2.2787680687547578</v>
      </c>
      <c r="X10" s="9">
        <f t="shared" si="0"/>
        <v>2.369918791504948</v>
      </c>
      <c r="Y10" s="9">
        <f t="shared" si="0"/>
        <v>2.4647155431651462</v>
      </c>
      <c r="Z10" s="9">
        <f t="shared" si="0"/>
        <v>2.5633041648917523</v>
      </c>
      <c r="AA10" s="9">
        <f t="shared" si="0"/>
        <v>2.6658363314874225</v>
      </c>
      <c r="AB10" s="9">
        <f t="shared" si="0"/>
        <v>2.7724697847469195</v>
      </c>
      <c r="AC10" s="9">
        <f t="shared" si="0"/>
        <v>2.8833685761367964</v>
      </c>
    </row>
    <row r="11" spans="1:29" x14ac:dyDescent="0.15">
      <c r="A11" s="2" t="s">
        <v>17</v>
      </c>
      <c r="B11" s="1">
        <v>1</v>
      </c>
      <c r="C11" s="9">
        <f t="shared" si="1"/>
        <v>1.04</v>
      </c>
      <c r="D11" s="9">
        <f t="shared" si="0"/>
        <v>1.0816000000000001</v>
      </c>
      <c r="E11" s="9">
        <f t="shared" si="0"/>
        <v>1.1248640000000001</v>
      </c>
      <c r="F11" s="9">
        <f t="shared" si="0"/>
        <v>1.1698585600000002</v>
      </c>
      <c r="G11" s="9">
        <f t="shared" si="0"/>
        <v>1.2166529024000003</v>
      </c>
      <c r="H11" s="9">
        <f t="shared" si="0"/>
        <v>1.2653190184960004</v>
      </c>
      <c r="I11" s="9">
        <f t="shared" si="0"/>
        <v>1.3159317792358405</v>
      </c>
      <c r="J11" s="9">
        <f t="shared" si="0"/>
        <v>1.3685690504052741</v>
      </c>
      <c r="K11" s="9">
        <f t="shared" si="0"/>
        <v>1.4233118124214852</v>
      </c>
      <c r="L11" s="9">
        <f t="shared" si="0"/>
        <v>1.4802442849183446</v>
      </c>
      <c r="M11" s="9">
        <f t="shared" si="0"/>
        <v>1.5394540563150785</v>
      </c>
      <c r="N11" s="9">
        <f t="shared" si="0"/>
        <v>1.6010322185676817</v>
      </c>
      <c r="O11" s="9">
        <f t="shared" si="0"/>
        <v>1.6650735073103891</v>
      </c>
      <c r="P11" s="9">
        <f t="shared" si="0"/>
        <v>1.7316764476028046</v>
      </c>
      <c r="Q11" s="9">
        <f t="shared" si="0"/>
        <v>1.8009435055069167</v>
      </c>
      <c r="R11" s="9">
        <f t="shared" si="0"/>
        <v>1.8729812457271935</v>
      </c>
      <c r="S11" s="9">
        <f t="shared" si="0"/>
        <v>1.9479004955562813</v>
      </c>
      <c r="T11" s="9">
        <f t="shared" si="0"/>
        <v>2.0258165153785326</v>
      </c>
      <c r="U11" s="9">
        <f t="shared" si="0"/>
        <v>2.1068491759936738</v>
      </c>
      <c r="V11" s="9">
        <f t="shared" si="0"/>
        <v>2.1911231430334208</v>
      </c>
      <c r="W11" s="9">
        <f t="shared" si="0"/>
        <v>2.2787680687547578</v>
      </c>
      <c r="X11" s="9">
        <f t="shared" si="0"/>
        <v>2.369918791504948</v>
      </c>
      <c r="Y11" s="9">
        <f t="shared" si="0"/>
        <v>2.4647155431651462</v>
      </c>
      <c r="Z11" s="9">
        <f t="shared" si="0"/>
        <v>2.5633041648917523</v>
      </c>
      <c r="AA11" s="9">
        <f t="shared" si="0"/>
        <v>2.6658363314874225</v>
      </c>
      <c r="AB11" s="9">
        <f t="shared" si="0"/>
        <v>2.7724697847469195</v>
      </c>
      <c r="AC11" s="9">
        <f t="shared" si="0"/>
        <v>2.8833685761367964</v>
      </c>
    </row>
    <row r="12" spans="1:29" x14ac:dyDescent="0.15">
      <c r="A12" s="2" t="s">
        <v>31</v>
      </c>
      <c r="B12" s="1">
        <v>1</v>
      </c>
      <c r="C12" s="9">
        <f t="shared" si="1"/>
        <v>1.04</v>
      </c>
      <c r="D12" s="9">
        <f t="shared" si="0"/>
        <v>1.0816000000000001</v>
      </c>
      <c r="E12" s="9">
        <f t="shared" si="0"/>
        <v>1.1248640000000001</v>
      </c>
      <c r="F12" s="9">
        <f t="shared" si="0"/>
        <v>1.1698585600000002</v>
      </c>
      <c r="G12" s="9">
        <f t="shared" si="0"/>
        <v>1.2166529024000003</v>
      </c>
      <c r="H12" s="9">
        <f t="shared" si="0"/>
        <v>1.2653190184960004</v>
      </c>
      <c r="I12" s="9">
        <f t="shared" si="0"/>
        <v>1.3159317792358405</v>
      </c>
      <c r="J12" s="9">
        <f t="shared" si="0"/>
        <v>1.3685690504052741</v>
      </c>
      <c r="K12" s="9">
        <f t="shared" si="0"/>
        <v>1.4233118124214852</v>
      </c>
      <c r="L12" s="9">
        <f t="shared" si="0"/>
        <v>1.4802442849183446</v>
      </c>
      <c r="M12" s="9">
        <f t="shared" si="0"/>
        <v>1.5394540563150785</v>
      </c>
      <c r="N12" s="9">
        <f t="shared" ref="D12:AC22" si="2">M12*1.04</f>
        <v>1.6010322185676817</v>
      </c>
      <c r="O12" s="9">
        <f t="shared" si="2"/>
        <v>1.6650735073103891</v>
      </c>
      <c r="P12" s="9">
        <f t="shared" si="2"/>
        <v>1.7316764476028046</v>
      </c>
      <c r="Q12" s="9">
        <f t="shared" si="2"/>
        <v>1.8009435055069167</v>
      </c>
      <c r="R12" s="9">
        <f t="shared" si="2"/>
        <v>1.8729812457271935</v>
      </c>
      <c r="S12" s="9">
        <f t="shared" si="2"/>
        <v>1.9479004955562813</v>
      </c>
      <c r="T12" s="9">
        <f t="shared" si="2"/>
        <v>2.0258165153785326</v>
      </c>
      <c r="U12" s="9">
        <f t="shared" si="2"/>
        <v>2.1068491759936738</v>
      </c>
      <c r="V12" s="9">
        <f t="shared" si="2"/>
        <v>2.1911231430334208</v>
      </c>
      <c r="W12" s="9">
        <f t="shared" si="2"/>
        <v>2.2787680687547578</v>
      </c>
      <c r="X12" s="9">
        <f t="shared" si="2"/>
        <v>2.369918791504948</v>
      </c>
      <c r="Y12" s="9">
        <f t="shared" si="2"/>
        <v>2.4647155431651462</v>
      </c>
      <c r="Z12" s="9">
        <f t="shared" si="2"/>
        <v>2.5633041648917523</v>
      </c>
      <c r="AA12" s="9">
        <f t="shared" si="2"/>
        <v>2.6658363314874225</v>
      </c>
      <c r="AB12" s="9">
        <f t="shared" si="2"/>
        <v>2.7724697847469195</v>
      </c>
      <c r="AC12" s="9">
        <f t="shared" si="2"/>
        <v>2.8833685761367964</v>
      </c>
    </row>
    <row r="13" spans="1:29" x14ac:dyDescent="0.15">
      <c r="A13" s="2" t="s">
        <v>0</v>
      </c>
      <c r="B13" s="1">
        <v>1</v>
      </c>
      <c r="C13" s="9">
        <f t="shared" si="1"/>
        <v>1.04</v>
      </c>
      <c r="D13" s="9">
        <f t="shared" si="2"/>
        <v>1.0816000000000001</v>
      </c>
      <c r="E13" s="9">
        <f t="shared" si="2"/>
        <v>1.1248640000000001</v>
      </c>
      <c r="F13" s="9">
        <f t="shared" si="2"/>
        <v>1.1698585600000002</v>
      </c>
      <c r="G13" s="9">
        <f t="shared" si="2"/>
        <v>1.2166529024000003</v>
      </c>
      <c r="H13" s="9">
        <f t="shared" si="2"/>
        <v>1.2653190184960004</v>
      </c>
      <c r="I13" s="9">
        <f t="shared" si="2"/>
        <v>1.3159317792358405</v>
      </c>
      <c r="J13" s="9">
        <f t="shared" si="2"/>
        <v>1.3685690504052741</v>
      </c>
      <c r="K13" s="9">
        <f t="shared" si="2"/>
        <v>1.4233118124214852</v>
      </c>
      <c r="L13" s="9">
        <f t="shared" si="2"/>
        <v>1.4802442849183446</v>
      </c>
      <c r="M13" s="9">
        <f t="shared" si="2"/>
        <v>1.5394540563150785</v>
      </c>
      <c r="N13" s="9">
        <f t="shared" si="2"/>
        <v>1.6010322185676817</v>
      </c>
      <c r="O13" s="9">
        <f t="shared" si="2"/>
        <v>1.6650735073103891</v>
      </c>
      <c r="P13" s="9">
        <f t="shared" si="2"/>
        <v>1.7316764476028046</v>
      </c>
      <c r="Q13" s="9">
        <f t="shared" si="2"/>
        <v>1.8009435055069167</v>
      </c>
      <c r="R13" s="9">
        <f t="shared" si="2"/>
        <v>1.8729812457271935</v>
      </c>
      <c r="S13" s="9">
        <f t="shared" si="2"/>
        <v>1.9479004955562813</v>
      </c>
      <c r="T13" s="9">
        <f t="shared" si="2"/>
        <v>2.0258165153785326</v>
      </c>
      <c r="U13" s="9">
        <f t="shared" si="2"/>
        <v>2.1068491759936738</v>
      </c>
      <c r="V13" s="9">
        <f t="shared" si="2"/>
        <v>2.1911231430334208</v>
      </c>
      <c r="W13" s="9">
        <f t="shared" si="2"/>
        <v>2.2787680687547578</v>
      </c>
      <c r="X13" s="9">
        <f t="shared" si="2"/>
        <v>2.369918791504948</v>
      </c>
      <c r="Y13" s="9">
        <f t="shared" si="2"/>
        <v>2.4647155431651462</v>
      </c>
      <c r="Z13" s="9">
        <f t="shared" si="2"/>
        <v>2.5633041648917523</v>
      </c>
      <c r="AA13" s="9">
        <f t="shared" si="2"/>
        <v>2.6658363314874225</v>
      </c>
      <c r="AB13" s="9">
        <f t="shared" si="2"/>
        <v>2.7724697847469195</v>
      </c>
      <c r="AC13" s="9">
        <f t="shared" si="2"/>
        <v>2.8833685761367964</v>
      </c>
    </row>
    <row r="14" spans="1:29" x14ac:dyDescent="0.15">
      <c r="A14" s="2" t="s">
        <v>6</v>
      </c>
      <c r="B14" s="1">
        <v>1</v>
      </c>
      <c r="C14" s="9">
        <f t="shared" si="1"/>
        <v>1.04</v>
      </c>
      <c r="D14" s="9">
        <f t="shared" si="2"/>
        <v>1.0816000000000001</v>
      </c>
      <c r="E14" s="9">
        <f t="shared" si="2"/>
        <v>1.1248640000000001</v>
      </c>
      <c r="F14" s="9">
        <f t="shared" si="2"/>
        <v>1.1698585600000002</v>
      </c>
      <c r="G14" s="9">
        <f t="shared" si="2"/>
        <v>1.2166529024000003</v>
      </c>
      <c r="H14" s="9">
        <f t="shared" si="2"/>
        <v>1.2653190184960004</v>
      </c>
      <c r="I14" s="9">
        <f t="shared" si="2"/>
        <v>1.3159317792358405</v>
      </c>
      <c r="J14" s="9">
        <f t="shared" si="2"/>
        <v>1.3685690504052741</v>
      </c>
      <c r="K14" s="9">
        <f t="shared" si="2"/>
        <v>1.4233118124214852</v>
      </c>
      <c r="L14" s="9">
        <f t="shared" si="2"/>
        <v>1.4802442849183446</v>
      </c>
      <c r="M14" s="9">
        <f t="shared" si="2"/>
        <v>1.5394540563150785</v>
      </c>
      <c r="N14" s="9">
        <f t="shared" si="2"/>
        <v>1.6010322185676817</v>
      </c>
      <c r="O14" s="9">
        <f t="shared" si="2"/>
        <v>1.6650735073103891</v>
      </c>
      <c r="P14" s="9">
        <f t="shared" si="2"/>
        <v>1.7316764476028046</v>
      </c>
      <c r="Q14" s="9">
        <f t="shared" si="2"/>
        <v>1.8009435055069167</v>
      </c>
      <c r="R14" s="9">
        <f t="shared" si="2"/>
        <v>1.8729812457271935</v>
      </c>
      <c r="S14" s="9">
        <f t="shared" si="2"/>
        <v>1.9479004955562813</v>
      </c>
      <c r="T14" s="9">
        <f t="shared" si="2"/>
        <v>2.0258165153785326</v>
      </c>
      <c r="U14" s="9">
        <f t="shared" si="2"/>
        <v>2.1068491759936738</v>
      </c>
      <c r="V14" s="9">
        <f t="shared" si="2"/>
        <v>2.1911231430334208</v>
      </c>
      <c r="W14" s="9">
        <f t="shared" si="2"/>
        <v>2.2787680687547578</v>
      </c>
      <c r="X14" s="9">
        <f t="shared" si="2"/>
        <v>2.369918791504948</v>
      </c>
      <c r="Y14" s="9">
        <f t="shared" si="2"/>
        <v>2.4647155431651462</v>
      </c>
      <c r="Z14" s="9">
        <f t="shared" si="2"/>
        <v>2.5633041648917523</v>
      </c>
      <c r="AA14" s="9">
        <f t="shared" si="2"/>
        <v>2.6658363314874225</v>
      </c>
      <c r="AB14" s="9">
        <f t="shared" si="2"/>
        <v>2.7724697847469195</v>
      </c>
      <c r="AC14" s="9">
        <f t="shared" si="2"/>
        <v>2.8833685761367964</v>
      </c>
    </row>
    <row r="15" spans="1:29" x14ac:dyDescent="0.15">
      <c r="A15" s="2" t="s">
        <v>18</v>
      </c>
      <c r="B15" s="1">
        <v>1</v>
      </c>
      <c r="C15" s="9">
        <f t="shared" si="1"/>
        <v>1.04</v>
      </c>
      <c r="D15" s="9">
        <f t="shared" si="2"/>
        <v>1.0816000000000001</v>
      </c>
      <c r="E15" s="9">
        <f t="shared" si="2"/>
        <v>1.1248640000000001</v>
      </c>
      <c r="F15" s="9">
        <f t="shared" si="2"/>
        <v>1.1698585600000002</v>
      </c>
      <c r="G15" s="9">
        <f t="shared" si="2"/>
        <v>1.2166529024000003</v>
      </c>
      <c r="H15" s="9">
        <f t="shared" si="2"/>
        <v>1.2653190184960004</v>
      </c>
      <c r="I15" s="9">
        <f t="shared" si="2"/>
        <v>1.3159317792358405</v>
      </c>
      <c r="J15" s="9">
        <f t="shared" si="2"/>
        <v>1.3685690504052741</v>
      </c>
      <c r="K15" s="9">
        <f t="shared" si="2"/>
        <v>1.4233118124214852</v>
      </c>
      <c r="L15" s="9">
        <f t="shared" si="2"/>
        <v>1.4802442849183446</v>
      </c>
      <c r="M15" s="9">
        <f t="shared" si="2"/>
        <v>1.5394540563150785</v>
      </c>
      <c r="N15" s="9">
        <f t="shared" si="2"/>
        <v>1.6010322185676817</v>
      </c>
      <c r="O15" s="9">
        <f t="shared" si="2"/>
        <v>1.6650735073103891</v>
      </c>
      <c r="P15" s="9">
        <f t="shared" si="2"/>
        <v>1.7316764476028046</v>
      </c>
      <c r="Q15" s="9">
        <f t="shared" si="2"/>
        <v>1.8009435055069167</v>
      </c>
      <c r="R15" s="9">
        <f t="shared" si="2"/>
        <v>1.8729812457271935</v>
      </c>
      <c r="S15" s="9">
        <f t="shared" si="2"/>
        <v>1.9479004955562813</v>
      </c>
      <c r="T15" s="9">
        <f t="shared" si="2"/>
        <v>2.0258165153785326</v>
      </c>
      <c r="U15" s="9">
        <f t="shared" si="2"/>
        <v>2.1068491759936738</v>
      </c>
      <c r="V15" s="9">
        <f t="shared" si="2"/>
        <v>2.1911231430334208</v>
      </c>
      <c r="W15" s="9">
        <f t="shared" si="2"/>
        <v>2.2787680687547578</v>
      </c>
      <c r="X15" s="9">
        <f t="shared" si="2"/>
        <v>2.369918791504948</v>
      </c>
      <c r="Y15" s="9">
        <f t="shared" si="2"/>
        <v>2.4647155431651462</v>
      </c>
      <c r="Z15" s="9">
        <f t="shared" si="2"/>
        <v>2.5633041648917523</v>
      </c>
      <c r="AA15" s="9">
        <f t="shared" si="2"/>
        <v>2.6658363314874225</v>
      </c>
      <c r="AB15" s="9">
        <f t="shared" si="2"/>
        <v>2.7724697847469195</v>
      </c>
      <c r="AC15" s="9">
        <f t="shared" si="2"/>
        <v>2.8833685761367964</v>
      </c>
    </row>
    <row r="16" spans="1:29" x14ac:dyDescent="0.15">
      <c r="A16" s="2" t="s">
        <v>24</v>
      </c>
      <c r="B16" s="1">
        <v>1</v>
      </c>
      <c r="C16" s="9">
        <f t="shared" si="1"/>
        <v>1.04</v>
      </c>
      <c r="D16" s="9">
        <f t="shared" si="2"/>
        <v>1.0816000000000001</v>
      </c>
      <c r="E16" s="9">
        <f t="shared" si="2"/>
        <v>1.1248640000000001</v>
      </c>
      <c r="F16" s="9">
        <f t="shared" si="2"/>
        <v>1.1698585600000002</v>
      </c>
      <c r="G16" s="9">
        <f t="shared" si="2"/>
        <v>1.2166529024000003</v>
      </c>
      <c r="H16" s="9">
        <f t="shared" si="2"/>
        <v>1.2653190184960004</v>
      </c>
      <c r="I16" s="9">
        <f t="shared" si="2"/>
        <v>1.3159317792358405</v>
      </c>
      <c r="J16" s="9">
        <f t="shared" si="2"/>
        <v>1.3685690504052741</v>
      </c>
      <c r="K16" s="9">
        <f t="shared" si="2"/>
        <v>1.4233118124214852</v>
      </c>
      <c r="L16" s="9">
        <f t="shared" si="2"/>
        <v>1.4802442849183446</v>
      </c>
      <c r="M16" s="9">
        <f t="shared" si="2"/>
        <v>1.5394540563150785</v>
      </c>
      <c r="N16" s="9">
        <f t="shared" si="2"/>
        <v>1.6010322185676817</v>
      </c>
      <c r="O16" s="9">
        <f t="shared" si="2"/>
        <v>1.6650735073103891</v>
      </c>
      <c r="P16" s="9">
        <f t="shared" si="2"/>
        <v>1.7316764476028046</v>
      </c>
      <c r="Q16" s="9">
        <f t="shared" si="2"/>
        <v>1.8009435055069167</v>
      </c>
      <c r="R16" s="9">
        <f t="shared" si="2"/>
        <v>1.8729812457271935</v>
      </c>
      <c r="S16" s="9">
        <f t="shared" si="2"/>
        <v>1.9479004955562813</v>
      </c>
      <c r="T16" s="9">
        <f t="shared" si="2"/>
        <v>2.0258165153785326</v>
      </c>
      <c r="U16" s="9">
        <f t="shared" si="2"/>
        <v>2.1068491759936738</v>
      </c>
      <c r="V16" s="9">
        <f t="shared" si="2"/>
        <v>2.1911231430334208</v>
      </c>
      <c r="W16" s="9">
        <f t="shared" si="2"/>
        <v>2.2787680687547578</v>
      </c>
      <c r="X16" s="9">
        <f t="shared" si="2"/>
        <v>2.369918791504948</v>
      </c>
      <c r="Y16" s="9">
        <f t="shared" si="2"/>
        <v>2.4647155431651462</v>
      </c>
      <c r="Z16" s="9">
        <f t="shared" si="2"/>
        <v>2.5633041648917523</v>
      </c>
      <c r="AA16" s="9">
        <f t="shared" si="2"/>
        <v>2.6658363314874225</v>
      </c>
      <c r="AB16" s="9">
        <f t="shared" si="2"/>
        <v>2.7724697847469195</v>
      </c>
      <c r="AC16" s="9">
        <f t="shared" si="2"/>
        <v>2.8833685761367964</v>
      </c>
    </row>
    <row r="17" spans="1:29" x14ac:dyDescent="0.15">
      <c r="A17" s="2" t="s">
        <v>14</v>
      </c>
      <c r="B17" s="1">
        <v>1</v>
      </c>
      <c r="C17" s="9">
        <f t="shared" si="1"/>
        <v>1.04</v>
      </c>
      <c r="D17" s="9">
        <f t="shared" si="2"/>
        <v>1.0816000000000001</v>
      </c>
      <c r="E17" s="9">
        <f t="shared" si="2"/>
        <v>1.1248640000000001</v>
      </c>
      <c r="F17" s="9">
        <f t="shared" si="2"/>
        <v>1.1698585600000002</v>
      </c>
      <c r="G17" s="9">
        <f t="shared" si="2"/>
        <v>1.2166529024000003</v>
      </c>
      <c r="H17" s="9">
        <f t="shared" si="2"/>
        <v>1.2653190184960004</v>
      </c>
      <c r="I17" s="9">
        <f t="shared" si="2"/>
        <v>1.3159317792358405</v>
      </c>
      <c r="J17" s="9">
        <f t="shared" si="2"/>
        <v>1.3685690504052741</v>
      </c>
      <c r="K17" s="9">
        <f t="shared" si="2"/>
        <v>1.4233118124214852</v>
      </c>
      <c r="L17" s="9">
        <f t="shared" si="2"/>
        <v>1.4802442849183446</v>
      </c>
      <c r="M17" s="9">
        <f t="shared" si="2"/>
        <v>1.5394540563150785</v>
      </c>
      <c r="N17" s="9">
        <f t="shared" si="2"/>
        <v>1.6010322185676817</v>
      </c>
      <c r="O17" s="9">
        <f t="shared" si="2"/>
        <v>1.6650735073103891</v>
      </c>
      <c r="P17" s="9">
        <f t="shared" si="2"/>
        <v>1.7316764476028046</v>
      </c>
      <c r="Q17" s="9">
        <f t="shared" si="2"/>
        <v>1.8009435055069167</v>
      </c>
      <c r="R17" s="9">
        <f t="shared" si="2"/>
        <v>1.8729812457271935</v>
      </c>
      <c r="S17" s="9">
        <f t="shared" si="2"/>
        <v>1.9479004955562813</v>
      </c>
      <c r="T17" s="9">
        <f t="shared" si="2"/>
        <v>2.0258165153785326</v>
      </c>
      <c r="U17" s="9">
        <f t="shared" si="2"/>
        <v>2.1068491759936738</v>
      </c>
      <c r="V17" s="9">
        <f t="shared" si="2"/>
        <v>2.1911231430334208</v>
      </c>
      <c r="W17" s="9">
        <f t="shared" si="2"/>
        <v>2.2787680687547578</v>
      </c>
      <c r="X17" s="9">
        <f t="shared" si="2"/>
        <v>2.369918791504948</v>
      </c>
      <c r="Y17" s="9">
        <f t="shared" si="2"/>
        <v>2.4647155431651462</v>
      </c>
      <c r="Z17" s="9">
        <f t="shared" si="2"/>
        <v>2.5633041648917523</v>
      </c>
      <c r="AA17" s="9">
        <f t="shared" si="2"/>
        <v>2.6658363314874225</v>
      </c>
      <c r="AB17" s="9">
        <f t="shared" si="2"/>
        <v>2.7724697847469195</v>
      </c>
      <c r="AC17" s="9">
        <f t="shared" si="2"/>
        <v>2.8833685761367964</v>
      </c>
    </row>
    <row r="18" spans="1:29" x14ac:dyDescent="0.15">
      <c r="A18" s="2" t="s">
        <v>15</v>
      </c>
      <c r="B18" s="1">
        <v>1</v>
      </c>
      <c r="C18" s="9">
        <f t="shared" si="1"/>
        <v>1.04</v>
      </c>
      <c r="D18" s="9">
        <f t="shared" si="2"/>
        <v>1.0816000000000001</v>
      </c>
      <c r="E18" s="9">
        <f t="shared" si="2"/>
        <v>1.1248640000000001</v>
      </c>
      <c r="F18" s="9">
        <f t="shared" si="2"/>
        <v>1.1698585600000002</v>
      </c>
      <c r="G18" s="9">
        <f t="shared" si="2"/>
        <v>1.2166529024000003</v>
      </c>
      <c r="H18" s="9">
        <f t="shared" si="2"/>
        <v>1.2653190184960004</v>
      </c>
      <c r="I18" s="9">
        <f t="shared" si="2"/>
        <v>1.3159317792358405</v>
      </c>
      <c r="J18" s="9">
        <f t="shared" si="2"/>
        <v>1.3685690504052741</v>
      </c>
      <c r="K18" s="9">
        <f t="shared" si="2"/>
        <v>1.4233118124214852</v>
      </c>
      <c r="L18" s="9">
        <f t="shared" si="2"/>
        <v>1.4802442849183446</v>
      </c>
      <c r="M18" s="9">
        <f t="shared" si="2"/>
        <v>1.5394540563150785</v>
      </c>
      <c r="N18" s="9">
        <f t="shared" si="2"/>
        <v>1.6010322185676817</v>
      </c>
      <c r="O18" s="9">
        <f t="shared" si="2"/>
        <v>1.6650735073103891</v>
      </c>
      <c r="P18" s="9">
        <f t="shared" si="2"/>
        <v>1.7316764476028046</v>
      </c>
      <c r="Q18" s="9">
        <f t="shared" si="2"/>
        <v>1.8009435055069167</v>
      </c>
      <c r="R18" s="9">
        <f t="shared" si="2"/>
        <v>1.8729812457271935</v>
      </c>
      <c r="S18" s="9">
        <f t="shared" si="2"/>
        <v>1.9479004955562813</v>
      </c>
      <c r="T18" s="9">
        <f t="shared" si="2"/>
        <v>2.0258165153785326</v>
      </c>
      <c r="U18" s="9">
        <f t="shared" si="2"/>
        <v>2.1068491759936738</v>
      </c>
      <c r="V18" s="9">
        <f t="shared" si="2"/>
        <v>2.1911231430334208</v>
      </c>
      <c r="W18" s="9">
        <f t="shared" si="2"/>
        <v>2.2787680687547578</v>
      </c>
      <c r="X18" s="9">
        <f t="shared" si="2"/>
        <v>2.369918791504948</v>
      </c>
      <c r="Y18" s="9">
        <f t="shared" si="2"/>
        <v>2.4647155431651462</v>
      </c>
      <c r="Z18" s="9">
        <f t="shared" si="2"/>
        <v>2.5633041648917523</v>
      </c>
      <c r="AA18" s="9">
        <f t="shared" si="2"/>
        <v>2.6658363314874225</v>
      </c>
      <c r="AB18" s="9">
        <f t="shared" si="2"/>
        <v>2.7724697847469195</v>
      </c>
      <c r="AC18" s="9">
        <f t="shared" si="2"/>
        <v>2.8833685761367964</v>
      </c>
    </row>
    <row r="19" spans="1:29" x14ac:dyDescent="0.15">
      <c r="A19" s="2" t="s">
        <v>16</v>
      </c>
      <c r="B19" s="1">
        <v>1</v>
      </c>
      <c r="C19" s="9">
        <f t="shared" ref="C19:R32" si="3">B19*1.04</f>
        <v>1.04</v>
      </c>
      <c r="D19" s="9">
        <f t="shared" si="2"/>
        <v>1.0816000000000001</v>
      </c>
      <c r="E19" s="9">
        <f t="shared" si="2"/>
        <v>1.1248640000000001</v>
      </c>
      <c r="F19" s="9">
        <f t="shared" si="2"/>
        <v>1.1698585600000002</v>
      </c>
      <c r="G19" s="9">
        <f t="shared" si="2"/>
        <v>1.2166529024000003</v>
      </c>
      <c r="H19" s="9">
        <f t="shared" si="2"/>
        <v>1.2653190184960004</v>
      </c>
      <c r="I19" s="9">
        <f t="shared" si="2"/>
        <v>1.3159317792358405</v>
      </c>
      <c r="J19" s="9">
        <f t="shared" si="2"/>
        <v>1.3685690504052741</v>
      </c>
      <c r="K19" s="9">
        <f t="shared" si="2"/>
        <v>1.4233118124214852</v>
      </c>
      <c r="L19" s="9">
        <f t="shared" si="2"/>
        <v>1.4802442849183446</v>
      </c>
      <c r="M19" s="9">
        <f t="shared" si="2"/>
        <v>1.5394540563150785</v>
      </c>
      <c r="N19" s="9">
        <f t="shared" si="2"/>
        <v>1.6010322185676817</v>
      </c>
      <c r="O19" s="9">
        <f t="shared" si="2"/>
        <v>1.6650735073103891</v>
      </c>
      <c r="P19" s="9">
        <f t="shared" si="2"/>
        <v>1.7316764476028046</v>
      </c>
      <c r="Q19" s="9">
        <f t="shared" si="2"/>
        <v>1.8009435055069167</v>
      </c>
      <c r="R19" s="9">
        <f t="shared" si="2"/>
        <v>1.8729812457271935</v>
      </c>
      <c r="S19" s="9">
        <f t="shared" si="2"/>
        <v>1.9479004955562813</v>
      </c>
      <c r="T19" s="9">
        <f t="shared" si="2"/>
        <v>2.0258165153785326</v>
      </c>
      <c r="U19" s="9">
        <f t="shared" si="2"/>
        <v>2.1068491759936738</v>
      </c>
      <c r="V19" s="9">
        <f t="shared" si="2"/>
        <v>2.1911231430334208</v>
      </c>
      <c r="W19" s="9">
        <f t="shared" si="2"/>
        <v>2.2787680687547578</v>
      </c>
      <c r="X19" s="9">
        <f t="shared" si="2"/>
        <v>2.369918791504948</v>
      </c>
      <c r="Y19" s="9">
        <f t="shared" si="2"/>
        <v>2.4647155431651462</v>
      </c>
      <c r="Z19" s="9">
        <f t="shared" si="2"/>
        <v>2.5633041648917523</v>
      </c>
      <c r="AA19" s="9">
        <f t="shared" si="2"/>
        <v>2.6658363314874225</v>
      </c>
      <c r="AB19" s="9">
        <f t="shared" si="2"/>
        <v>2.7724697847469195</v>
      </c>
      <c r="AC19" s="9">
        <f t="shared" si="2"/>
        <v>2.8833685761367964</v>
      </c>
    </row>
    <row r="20" spans="1:29" ht="15" x14ac:dyDescent="0.25">
      <c r="A20" s="6" t="s">
        <v>8</v>
      </c>
      <c r="B20" s="1">
        <v>1</v>
      </c>
      <c r="C20" s="9">
        <f t="shared" si="3"/>
        <v>1.04</v>
      </c>
      <c r="D20" s="9">
        <f t="shared" si="2"/>
        <v>1.0816000000000001</v>
      </c>
      <c r="E20" s="9">
        <f t="shared" si="2"/>
        <v>1.1248640000000001</v>
      </c>
      <c r="F20" s="9">
        <f t="shared" si="2"/>
        <v>1.1698585600000002</v>
      </c>
      <c r="G20" s="9">
        <f t="shared" si="2"/>
        <v>1.2166529024000003</v>
      </c>
      <c r="H20" s="9">
        <f t="shared" si="2"/>
        <v>1.2653190184960004</v>
      </c>
      <c r="I20" s="9">
        <f t="shared" si="2"/>
        <v>1.3159317792358405</v>
      </c>
      <c r="J20" s="9">
        <f t="shared" si="2"/>
        <v>1.3685690504052741</v>
      </c>
      <c r="K20" s="9">
        <f t="shared" si="2"/>
        <v>1.4233118124214852</v>
      </c>
      <c r="L20" s="9">
        <f t="shared" si="2"/>
        <v>1.4802442849183446</v>
      </c>
      <c r="M20" s="9">
        <f t="shared" si="2"/>
        <v>1.5394540563150785</v>
      </c>
      <c r="N20" s="9">
        <f t="shared" si="2"/>
        <v>1.6010322185676817</v>
      </c>
      <c r="O20" s="9">
        <f t="shared" si="2"/>
        <v>1.6650735073103891</v>
      </c>
      <c r="P20" s="9">
        <f t="shared" si="2"/>
        <v>1.7316764476028046</v>
      </c>
      <c r="Q20" s="9">
        <f t="shared" si="2"/>
        <v>1.8009435055069167</v>
      </c>
      <c r="R20" s="9">
        <f t="shared" si="2"/>
        <v>1.8729812457271935</v>
      </c>
      <c r="S20" s="9">
        <f t="shared" si="2"/>
        <v>1.9479004955562813</v>
      </c>
      <c r="T20" s="9">
        <f t="shared" si="2"/>
        <v>2.0258165153785326</v>
      </c>
      <c r="U20" s="9">
        <f t="shared" si="2"/>
        <v>2.1068491759936738</v>
      </c>
      <c r="V20" s="9">
        <f t="shared" si="2"/>
        <v>2.1911231430334208</v>
      </c>
      <c r="W20" s="9">
        <f t="shared" si="2"/>
        <v>2.2787680687547578</v>
      </c>
      <c r="X20" s="9">
        <f t="shared" si="2"/>
        <v>2.369918791504948</v>
      </c>
      <c r="Y20" s="9">
        <f t="shared" si="2"/>
        <v>2.4647155431651462</v>
      </c>
      <c r="Z20" s="9">
        <f t="shared" si="2"/>
        <v>2.5633041648917523</v>
      </c>
      <c r="AA20" s="9">
        <f t="shared" si="2"/>
        <v>2.6658363314874225</v>
      </c>
      <c r="AB20" s="9">
        <f t="shared" si="2"/>
        <v>2.7724697847469195</v>
      </c>
      <c r="AC20" s="9">
        <f t="shared" si="2"/>
        <v>2.8833685761367964</v>
      </c>
    </row>
    <row r="21" spans="1:29" x14ac:dyDescent="0.15">
      <c r="A21" s="2" t="s">
        <v>9</v>
      </c>
      <c r="B21" s="1">
        <v>1</v>
      </c>
      <c r="C21" s="9">
        <f t="shared" si="3"/>
        <v>1.04</v>
      </c>
      <c r="D21" s="9">
        <f t="shared" si="2"/>
        <v>1.0816000000000001</v>
      </c>
      <c r="E21" s="9">
        <f t="shared" si="2"/>
        <v>1.1248640000000001</v>
      </c>
      <c r="F21" s="9">
        <f t="shared" si="2"/>
        <v>1.1698585600000002</v>
      </c>
      <c r="G21" s="9">
        <f t="shared" si="2"/>
        <v>1.2166529024000003</v>
      </c>
      <c r="H21" s="9">
        <f t="shared" si="2"/>
        <v>1.2653190184960004</v>
      </c>
      <c r="I21" s="9">
        <f t="shared" si="2"/>
        <v>1.3159317792358405</v>
      </c>
      <c r="J21" s="9">
        <f t="shared" si="2"/>
        <v>1.3685690504052741</v>
      </c>
      <c r="K21" s="9">
        <f t="shared" si="2"/>
        <v>1.4233118124214852</v>
      </c>
      <c r="L21" s="9">
        <f t="shared" si="2"/>
        <v>1.4802442849183446</v>
      </c>
      <c r="M21" s="9">
        <f t="shared" si="2"/>
        <v>1.5394540563150785</v>
      </c>
      <c r="N21" s="9">
        <f t="shared" si="2"/>
        <v>1.6010322185676817</v>
      </c>
      <c r="O21" s="9">
        <f t="shared" si="2"/>
        <v>1.6650735073103891</v>
      </c>
      <c r="P21" s="9">
        <f t="shared" si="2"/>
        <v>1.7316764476028046</v>
      </c>
      <c r="Q21" s="9">
        <f t="shared" si="2"/>
        <v>1.8009435055069167</v>
      </c>
      <c r="R21" s="9">
        <f t="shared" si="2"/>
        <v>1.8729812457271935</v>
      </c>
      <c r="S21" s="9">
        <f t="shared" si="2"/>
        <v>1.9479004955562813</v>
      </c>
      <c r="T21" s="9">
        <f t="shared" si="2"/>
        <v>2.0258165153785326</v>
      </c>
      <c r="U21" s="9">
        <f t="shared" si="2"/>
        <v>2.1068491759936738</v>
      </c>
      <c r="V21" s="9">
        <f t="shared" si="2"/>
        <v>2.1911231430334208</v>
      </c>
      <c r="W21" s="9">
        <f t="shared" si="2"/>
        <v>2.2787680687547578</v>
      </c>
      <c r="X21" s="9">
        <f t="shared" si="2"/>
        <v>2.369918791504948</v>
      </c>
      <c r="Y21" s="9">
        <f t="shared" si="2"/>
        <v>2.4647155431651462</v>
      </c>
      <c r="Z21" s="9">
        <f t="shared" si="2"/>
        <v>2.5633041648917523</v>
      </c>
      <c r="AA21" s="9">
        <f t="shared" si="2"/>
        <v>2.6658363314874225</v>
      </c>
      <c r="AB21" s="9">
        <f t="shared" si="2"/>
        <v>2.7724697847469195</v>
      </c>
      <c r="AC21" s="9">
        <f t="shared" si="2"/>
        <v>2.8833685761367964</v>
      </c>
    </row>
    <row r="22" spans="1:29" x14ac:dyDescent="0.15">
      <c r="A22" s="2" t="s">
        <v>11</v>
      </c>
      <c r="B22" s="1">
        <v>1</v>
      </c>
      <c r="C22" s="9">
        <f t="shared" si="3"/>
        <v>1.04</v>
      </c>
      <c r="D22" s="9">
        <f t="shared" si="2"/>
        <v>1.0816000000000001</v>
      </c>
      <c r="E22" s="9">
        <f t="shared" si="2"/>
        <v>1.1248640000000001</v>
      </c>
      <c r="F22" s="9">
        <f t="shared" si="2"/>
        <v>1.1698585600000002</v>
      </c>
      <c r="G22" s="9">
        <f t="shared" si="2"/>
        <v>1.2166529024000003</v>
      </c>
      <c r="H22" s="9">
        <f t="shared" si="2"/>
        <v>1.2653190184960004</v>
      </c>
      <c r="I22" s="9">
        <f t="shared" ref="D22:AC31" si="4">H22*1.04</f>
        <v>1.3159317792358405</v>
      </c>
      <c r="J22" s="9">
        <f t="shared" si="4"/>
        <v>1.3685690504052741</v>
      </c>
      <c r="K22" s="9">
        <f t="shared" si="4"/>
        <v>1.4233118124214852</v>
      </c>
      <c r="L22" s="9">
        <f t="shared" si="4"/>
        <v>1.4802442849183446</v>
      </c>
      <c r="M22" s="9">
        <f t="shared" si="4"/>
        <v>1.5394540563150785</v>
      </c>
      <c r="N22" s="9">
        <f t="shared" si="4"/>
        <v>1.6010322185676817</v>
      </c>
      <c r="O22" s="9">
        <f t="shared" si="4"/>
        <v>1.6650735073103891</v>
      </c>
      <c r="P22" s="9">
        <f t="shared" si="4"/>
        <v>1.7316764476028046</v>
      </c>
      <c r="Q22" s="9">
        <f t="shared" si="4"/>
        <v>1.8009435055069167</v>
      </c>
      <c r="R22" s="9">
        <f t="shared" si="4"/>
        <v>1.8729812457271935</v>
      </c>
      <c r="S22" s="9">
        <f t="shared" si="4"/>
        <v>1.9479004955562813</v>
      </c>
      <c r="T22" s="9">
        <f t="shared" si="4"/>
        <v>2.0258165153785326</v>
      </c>
      <c r="U22" s="9">
        <f t="shared" si="4"/>
        <v>2.1068491759936738</v>
      </c>
      <c r="V22" s="9">
        <f t="shared" si="4"/>
        <v>2.1911231430334208</v>
      </c>
      <c r="W22" s="9">
        <f t="shared" si="4"/>
        <v>2.2787680687547578</v>
      </c>
      <c r="X22" s="9">
        <f t="shared" si="4"/>
        <v>2.369918791504948</v>
      </c>
      <c r="Y22" s="9">
        <f t="shared" si="4"/>
        <v>2.4647155431651462</v>
      </c>
      <c r="Z22" s="9">
        <f t="shared" si="4"/>
        <v>2.5633041648917523</v>
      </c>
      <c r="AA22" s="9">
        <f t="shared" si="4"/>
        <v>2.6658363314874225</v>
      </c>
      <c r="AB22" s="9">
        <f t="shared" si="4"/>
        <v>2.7724697847469195</v>
      </c>
      <c r="AC22" s="9">
        <f t="shared" si="4"/>
        <v>2.8833685761367964</v>
      </c>
    </row>
    <row r="23" spans="1:29" x14ac:dyDescent="0.15">
      <c r="A23" s="2" t="s">
        <v>5</v>
      </c>
      <c r="B23" s="1">
        <v>1</v>
      </c>
      <c r="C23" s="9">
        <f t="shared" si="3"/>
        <v>1.04</v>
      </c>
      <c r="D23" s="9">
        <f t="shared" si="4"/>
        <v>1.0816000000000001</v>
      </c>
      <c r="E23" s="9">
        <f t="shared" si="4"/>
        <v>1.1248640000000001</v>
      </c>
      <c r="F23" s="9">
        <f t="shared" si="4"/>
        <v>1.1698585600000002</v>
      </c>
      <c r="G23" s="9">
        <f t="shared" si="4"/>
        <v>1.2166529024000003</v>
      </c>
      <c r="H23" s="9">
        <f t="shared" si="4"/>
        <v>1.2653190184960004</v>
      </c>
      <c r="I23" s="9">
        <f t="shared" si="4"/>
        <v>1.3159317792358405</v>
      </c>
      <c r="J23" s="9">
        <f t="shared" si="4"/>
        <v>1.3685690504052741</v>
      </c>
      <c r="K23" s="9">
        <f t="shared" si="4"/>
        <v>1.4233118124214852</v>
      </c>
      <c r="L23" s="9">
        <f t="shared" si="4"/>
        <v>1.4802442849183446</v>
      </c>
      <c r="M23" s="9">
        <f t="shared" si="4"/>
        <v>1.5394540563150785</v>
      </c>
      <c r="N23" s="9">
        <f t="shared" si="4"/>
        <v>1.6010322185676817</v>
      </c>
      <c r="O23" s="9">
        <f t="shared" si="4"/>
        <v>1.6650735073103891</v>
      </c>
      <c r="P23" s="9">
        <f t="shared" si="4"/>
        <v>1.7316764476028046</v>
      </c>
      <c r="Q23" s="9">
        <f t="shared" si="4"/>
        <v>1.8009435055069167</v>
      </c>
      <c r="R23" s="9">
        <f t="shared" si="4"/>
        <v>1.8729812457271935</v>
      </c>
      <c r="S23" s="9">
        <f t="shared" si="4"/>
        <v>1.9479004955562813</v>
      </c>
      <c r="T23" s="9">
        <f t="shared" si="4"/>
        <v>2.0258165153785326</v>
      </c>
      <c r="U23" s="9">
        <f t="shared" si="4"/>
        <v>2.1068491759936738</v>
      </c>
      <c r="V23" s="9">
        <f t="shared" si="4"/>
        <v>2.1911231430334208</v>
      </c>
      <c r="W23" s="9">
        <f t="shared" si="4"/>
        <v>2.2787680687547578</v>
      </c>
      <c r="X23" s="9">
        <f t="shared" si="4"/>
        <v>2.369918791504948</v>
      </c>
      <c r="Y23" s="9">
        <f t="shared" si="4"/>
        <v>2.4647155431651462</v>
      </c>
      <c r="Z23" s="9">
        <f t="shared" si="4"/>
        <v>2.5633041648917523</v>
      </c>
      <c r="AA23" s="9">
        <f t="shared" si="4"/>
        <v>2.6658363314874225</v>
      </c>
      <c r="AB23" s="9">
        <f t="shared" si="4"/>
        <v>2.7724697847469195</v>
      </c>
      <c r="AC23" s="9">
        <f t="shared" si="4"/>
        <v>2.8833685761367964</v>
      </c>
    </row>
    <row r="24" spans="1:29" x14ac:dyDescent="0.15">
      <c r="A24" s="2" t="s">
        <v>27</v>
      </c>
      <c r="B24" s="1">
        <v>1</v>
      </c>
      <c r="C24" s="9">
        <f t="shared" si="3"/>
        <v>1.04</v>
      </c>
      <c r="D24" s="9">
        <f t="shared" si="4"/>
        <v>1.0816000000000001</v>
      </c>
      <c r="E24" s="9">
        <f t="shared" si="4"/>
        <v>1.1248640000000001</v>
      </c>
      <c r="F24" s="9">
        <f t="shared" si="4"/>
        <v>1.1698585600000002</v>
      </c>
      <c r="G24" s="9">
        <f t="shared" si="4"/>
        <v>1.2166529024000003</v>
      </c>
      <c r="H24" s="9">
        <f t="shared" si="4"/>
        <v>1.2653190184960004</v>
      </c>
      <c r="I24" s="9">
        <f t="shared" si="4"/>
        <v>1.3159317792358405</v>
      </c>
      <c r="J24" s="9">
        <f t="shared" si="4"/>
        <v>1.3685690504052741</v>
      </c>
      <c r="K24" s="9">
        <f t="shared" si="4"/>
        <v>1.4233118124214852</v>
      </c>
      <c r="L24" s="9">
        <f t="shared" si="4"/>
        <v>1.4802442849183446</v>
      </c>
      <c r="M24" s="9">
        <f t="shared" si="4"/>
        <v>1.5394540563150785</v>
      </c>
      <c r="N24" s="9">
        <f t="shared" si="4"/>
        <v>1.6010322185676817</v>
      </c>
      <c r="O24" s="9">
        <f t="shared" si="4"/>
        <v>1.6650735073103891</v>
      </c>
      <c r="P24" s="9">
        <f t="shared" si="4"/>
        <v>1.7316764476028046</v>
      </c>
      <c r="Q24" s="9">
        <f t="shared" si="4"/>
        <v>1.8009435055069167</v>
      </c>
      <c r="R24" s="9">
        <f t="shared" si="4"/>
        <v>1.8729812457271935</v>
      </c>
      <c r="S24" s="9">
        <f t="shared" si="4"/>
        <v>1.9479004955562813</v>
      </c>
      <c r="T24" s="9">
        <f t="shared" si="4"/>
        <v>2.0258165153785326</v>
      </c>
      <c r="U24" s="9">
        <f t="shared" si="4"/>
        <v>2.1068491759936738</v>
      </c>
      <c r="V24" s="9">
        <f t="shared" si="4"/>
        <v>2.1911231430334208</v>
      </c>
      <c r="W24" s="9">
        <f t="shared" si="4"/>
        <v>2.2787680687547578</v>
      </c>
      <c r="X24" s="9">
        <f t="shared" si="4"/>
        <v>2.369918791504948</v>
      </c>
      <c r="Y24" s="9">
        <f t="shared" si="4"/>
        <v>2.4647155431651462</v>
      </c>
      <c r="Z24" s="9">
        <f t="shared" si="4"/>
        <v>2.5633041648917523</v>
      </c>
      <c r="AA24" s="9">
        <f t="shared" si="4"/>
        <v>2.6658363314874225</v>
      </c>
      <c r="AB24" s="9">
        <f t="shared" si="4"/>
        <v>2.7724697847469195</v>
      </c>
      <c r="AC24" s="9">
        <f t="shared" si="4"/>
        <v>2.8833685761367964</v>
      </c>
    </row>
    <row r="25" spans="1:29" x14ac:dyDescent="0.15">
      <c r="A25" s="2" t="s">
        <v>10</v>
      </c>
      <c r="B25" s="1">
        <v>1</v>
      </c>
      <c r="C25" s="9">
        <f t="shared" si="3"/>
        <v>1.04</v>
      </c>
      <c r="D25" s="9">
        <f t="shared" si="4"/>
        <v>1.0816000000000001</v>
      </c>
      <c r="E25" s="9">
        <f t="shared" si="4"/>
        <v>1.1248640000000001</v>
      </c>
      <c r="F25" s="9">
        <f t="shared" si="4"/>
        <v>1.1698585600000002</v>
      </c>
      <c r="G25" s="9">
        <f t="shared" si="4"/>
        <v>1.2166529024000003</v>
      </c>
      <c r="H25" s="9">
        <f t="shared" si="4"/>
        <v>1.2653190184960004</v>
      </c>
      <c r="I25" s="9">
        <f t="shared" si="4"/>
        <v>1.3159317792358405</v>
      </c>
      <c r="J25" s="9">
        <f t="shared" si="4"/>
        <v>1.3685690504052741</v>
      </c>
      <c r="K25" s="9">
        <f t="shared" si="4"/>
        <v>1.4233118124214852</v>
      </c>
      <c r="L25" s="9">
        <f t="shared" si="4"/>
        <v>1.4802442849183446</v>
      </c>
      <c r="M25" s="9">
        <f t="shared" si="4"/>
        <v>1.5394540563150785</v>
      </c>
      <c r="N25" s="9">
        <f t="shared" si="4"/>
        <v>1.6010322185676817</v>
      </c>
      <c r="O25" s="9">
        <f t="shared" si="4"/>
        <v>1.6650735073103891</v>
      </c>
      <c r="P25" s="9">
        <f t="shared" si="4"/>
        <v>1.7316764476028046</v>
      </c>
      <c r="Q25" s="9">
        <f t="shared" si="4"/>
        <v>1.8009435055069167</v>
      </c>
      <c r="R25" s="9">
        <f t="shared" si="4"/>
        <v>1.8729812457271935</v>
      </c>
      <c r="S25" s="9">
        <f t="shared" si="4"/>
        <v>1.9479004955562813</v>
      </c>
      <c r="T25" s="9">
        <f t="shared" si="4"/>
        <v>2.0258165153785326</v>
      </c>
      <c r="U25" s="9">
        <f t="shared" si="4"/>
        <v>2.1068491759936738</v>
      </c>
      <c r="V25" s="9">
        <f t="shared" si="4"/>
        <v>2.1911231430334208</v>
      </c>
      <c r="W25" s="9">
        <f t="shared" si="4"/>
        <v>2.2787680687547578</v>
      </c>
      <c r="X25" s="9">
        <f t="shared" si="4"/>
        <v>2.369918791504948</v>
      </c>
      <c r="Y25" s="9">
        <f t="shared" si="4"/>
        <v>2.4647155431651462</v>
      </c>
      <c r="Z25" s="9">
        <f t="shared" si="4"/>
        <v>2.5633041648917523</v>
      </c>
      <c r="AA25" s="9">
        <f t="shared" si="4"/>
        <v>2.6658363314874225</v>
      </c>
      <c r="AB25" s="9">
        <f t="shared" si="4"/>
        <v>2.7724697847469195</v>
      </c>
      <c r="AC25" s="9">
        <f t="shared" si="4"/>
        <v>2.8833685761367964</v>
      </c>
    </row>
    <row r="26" spans="1:29" x14ac:dyDescent="0.15">
      <c r="A26" s="2" t="s">
        <v>30</v>
      </c>
      <c r="B26" s="1">
        <v>1</v>
      </c>
      <c r="C26" s="9">
        <f t="shared" si="3"/>
        <v>1.04</v>
      </c>
      <c r="D26" s="9">
        <f t="shared" si="4"/>
        <v>1.0816000000000001</v>
      </c>
      <c r="E26" s="9">
        <f t="shared" si="4"/>
        <v>1.1248640000000001</v>
      </c>
      <c r="F26" s="9">
        <f t="shared" si="4"/>
        <v>1.1698585600000002</v>
      </c>
      <c r="G26" s="9">
        <f t="shared" si="4"/>
        <v>1.2166529024000003</v>
      </c>
      <c r="H26" s="9">
        <f t="shared" si="4"/>
        <v>1.2653190184960004</v>
      </c>
      <c r="I26" s="9">
        <f t="shared" si="4"/>
        <v>1.3159317792358405</v>
      </c>
      <c r="J26" s="9">
        <f t="shared" si="4"/>
        <v>1.3685690504052741</v>
      </c>
      <c r="K26" s="9">
        <f t="shared" si="4"/>
        <v>1.4233118124214852</v>
      </c>
      <c r="L26" s="9">
        <f t="shared" si="4"/>
        <v>1.4802442849183446</v>
      </c>
      <c r="M26" s="9">
        <f t="shared" si="4"/>
        <v>1.5394540563150785</v>
      </c>
      <c r="N26" s="9">
        <f t="shared" si="4"/>
        <v>1.6010322185676817</v>
      </c>
      <c r="O26" s="9">
        <f t="shared" si="4"/>
        <v>1.6650735073103891</v>
      </c>
      <c r="P26" s="9">
        <f t="shared" si="4"/>
        <v>1.7316764476028046</v>
      </c>
      <c r="Q26" s="9">
        <f t="shared" si="4"/>
        <v>1.8009435055069167</v>
      </c>
      <c r="R26" s="9">
        <f t="shared" si="4"/>
        <v>1.8729812457271935</v>
      </c>
      <c r="S26" s="9">
        <f t="shared" si="4"/>
        <v>1.9479004955562813</v>
      </c>
      <c r="T26" s="9">
        <f t="shared" si="4"/>
        <v>2.0258165153785326</v>
      </c>
      <c r="U26" s="9">
        <f t="shared" si="4"/>
        <v>2.1068491759936738</v>
      </c>
      <c r="V26" s="9">
        <f t="shared" si="4"/>
        <v>2.1911231430334208</v>
      </c>
      <c r="W26" s="9">
        <f t="shared" si="4"/>
        <v>2.2787680687547578</v>
      </c>
      <c r="X26" s="9">
        <f t="shared" si="4"/>
        <v>2.369918791504948</v>
      </c>
      <c r="Y26" s="9">
        <f t="shared" si="4"/>
        <v>2.4647155431651462</v>
      </c>
      <c r="Z26" s="9">
        <f t="shared" si="4"/>
        <v>2.5633041648917523</v>
      </c>
      <c r="AA26" s="9">
        <f t="shared" si="4"/>
        <v>2.6658363314874225</v>
      </c>
      <c r="AB26" s="9">
        <f t="shared" si="4"/>
        <v>2.7724697847469195</v>
      </c>
      <c r="AC26" s="9">
        <f t="shared" si="4"/>
        <v>2.8833685761367964</v>
      </c>
    </row>
    <row r="27" spans="1:29" x14ac:dyDescent="0.15">
      <c r="A27" s="2" t="s">
        <v>23</v>
      </c>
      <c r="B27" s="1">
        <v>1</v>
      </c>
      <c r="C27" s="9">
        <f t="shared" si="3"/>
        <v>1.04</v>
      </c>
      <c r="D27" s="9">
        <f t="shared" si="4"/>
        <v>1.0816000000000001</v>
      </c>
      <c r="E27" s="9">
        <f t="shared" si="4"/>
        <v>1.1248640000000001</v>
      </c>
      <c r="F27" s="9">
        <f t="shared" si="4"/>
        <v>1.1698585600000002</v>
      </c>
      <c r="G27" s="9">
        <f t="shared" si="4"/>
        <v>1.2166529024000003</v>
      </c>
      <c r="H27" s="9">
        <f t="shared" si="4"/>
        <v>1.2653190184960004</v>
      </c>
      <c r="I27" s="9">
        <f t="shared" si="4"/>
        <v>1.3159317792358405</v>
      </c>
      <c r="J27" s="9">
        <f t="shared" si="4"/>
        <v>1.3685690504052741</v>
      </c>
      <c r="K27" s="9">
        <f t="shared" si="4"/>
        <v>1.4233118124214852</v>
      </c>
      <c r="L27" s="9">
        <f t="shared" si="4"/>
        <v>1.4802442849183446</v>
      </c>
      <c r="M27" s="9">
        <f t="shared" si="4"/>
        <v>1.5394540563150785</v>
      </c>
      <c r="N27" s="9">
        <f t="shared" si="4"/>
        <v>1.6010322185676817</v>
      </c>
      <c r="O27" s="9">
        <f t="shared" si="4"/>
        <v>1.6650735073103891</v>
      </c>
      <c r="P27" s="9">
        <f t="shared" si="4"/>
        <v>1.7316764476028046</v>
      </c>
      <c r="Q27" s="9">
        <f t="shared" si="4"/>
        <v>1.8009435055069167</v>
      </c>
      <c r="R27" s="9">
        <f t="shared" si="4"/>
        <v>1.8729812457271935</v>
      </c>
      <c r="S27" s="9">
        <f t="shared" si="4"/>
        <v>1.9479004955562813</v>
      </c>
      <c r="T27" s="9">
        <f t="shared" si="4"/>
        <v>2.0258165153785326</v>
      </c>
      <c r="U27" s="9">
        <f t="shared" si="4"/>
        <v>2.1068491759936738</v>
      </c>
      <c r="V27" s="9">
        <f t="shared" si="4"/>
        <v>2.1911231430334208</v>
      </c>
      <c r="W27" s="9">
        <f t="shared" si="4"/>
        <v>2.2787680687547578</v>
      </c>
      <c r="X27" s="9">
        <f t="shared" si="4"/>
        <v>2.369918791504948</v>
      </c>
      <c r="Y27" s="9">
        <f t="shared" si="4"/>
        <v>2.4647155431651462</v>
      </c>
      <c r="Z27" s="9">
        <f t="shared" si="4"/>
        <v>2.5633041648917523</v>
      </c>
      <c r="AA27" s="9">
        <f t="shared" si="4"/>
        <v>2.6658363314874225</v>
      </c>
      <c r="AB27" s="9">
        <f t="shared" si="4"/>
        <v>2.7724697847469195</v>
      </c>
      <c r="AC27" s="9">
        <f t="shared" si="4"/>
        <v>2.8833685761367964</v>
      </c>
    </row>
    <row r="28" spans="1:29" x14ac:dyDescent="0.15">
      <c r="A28" s="2" t="s">
        <v>7</v>
      </c>
      <c r="B28" s="1">
        <v>1</v>
      </c>
      <c r="C28" s="9">
        <f t="shared" si="3"/>
        <v>1.04</v>
      </c>
      <c r="D28" s="9">
        <f t="shared" si="4"/>
        <v>1.0816000000000001</v>
      </c>
      <c r="E28" s="9">
        <f t="shared" si="4"/>
        <v>1.1248640000000001</v>
      </c>
      <c r="F28" s="9">
        <f t="shared" si="4"/>
        <v>1.1698585600000002</v>
      </c>
      <c r="G28" s="9">
        <f t="shared" si="4"/>
        <v>1.2166529024000003</v>
      </c>
      <c r="H28" s="9">
        <f t="shared" si="4"/>
        <v>1.2653190184960004</v>
      </c>
      <c r="I28" s="9">
        <f t="shared" si="4"/>
        <v>1.3159317792358405</v>
      </c>
      <c r="J28" s="9">
        <f t="shared" si="4"/>
        <v>1.3685690504052741</v>
      </c>
      <c r="K28" s="9">
        <f t="shared" si="4"/>
        <v>1.4233118124214852</v>
      </c>
      <c r="L28" s="9">
        <f t="shared" si="4"/>
        <v>1.4802442849183446</v>
      </c>
      <c r="M28" s="9">
        <f t="shared" si="4"/>
        <v>1.5394540563150785</v>
      </c>
      <c r="N28" s="9">
        <f t="shared" si="4"/>
        <v>1.6010322185676817</v>
      </c>
      <c r="O28" s="9">
        <f t="shared" si="4"/>
        <v>1.6650735073103891</v>
      </c>
      <c r="P28" s="9">
        <f t="shared" si="4"/>
        <v>1.7316764476028046</v>
      </c>
      <c r="Q28" s="9">
        <f t="shared" si="4"/>
        <v>1.8009435055069167</v>
      </c>
      <c r="R28" s="9">
        <f t="shared" si="4"/>
        <v>1.8729812457271935</v>
      </c>
      <c r="S28" s="9">
        <f t="shared" si="4"/>
        <v>1.9479004955562813</v>
      </c>
      <c r="T28" s="9">
        <f t="shared" si="4"/>
        <v>2.0258165153785326</v>
      </c>
      <c r="U28" s="9">
        <f t="shared" si="4"/>
        <v>2.1068491759936738</v>
      </c>
      <c r="V28" s="9">
        <f t="shared" si="4"/>
        <v>2.1911231430334208</v>
      </c>
      <c r="W28" s="9">
        <f t="shared" si="4"/>
        <v>2.2787680687547578</v>
      </c>
      <c r="X28" s="9">
        <f t="shared" si="4"/>
        <v>2.369918791504948</v>
      </c>
      <c r="Y28" s="9">
        <f t="shared" si="4"/>
        <v>2.4647155431651462</v>
      </c>
      <c r="Z28" s="9">
        <f t="shared" si="4"/>
        <v>2.5633041648917523</v>
      </c>
      <c r="AA28" s="9">
        <f t="shared" si="4"/>
        <v>2.6658363314874225</v>
      </c>
      <c r="AB28" s="9">
        <f t="shared" si="4"/>
        <v>2.7724697847469195</v>
      </c>
      <c r="AC28" s="9">
        <f t="shared" si="4"/>
        <v>2.8833685761367964</v>
      </c>
    </row>
    <row r="29" spans="1:29" x14ac:dyDescent="0.15">
      <c r="A29" s="2" t="s">
        <v>22</v>
      </c>
      <c r="B29" s="1">
        <v>1</v>
      </c>
      <c r="C29" s="9">
        <f t="shared" si="3"/>
        <v>1.04</v>
      </c>
      <c r="D29" s="9">
        <f t="shared" si="4"/>
        <v>1.0816000000000001</v>
      </c>
      <c r="E29" s="9">
        <f t="shared" si="4"/>
        <v>1.1248640000000001</v>
      </c>
      <c r="F29" s="9">
        <f t="shared" si="4"/>
        <v>1.1698585600000002</v>
      </c>
      <c r="G29" s="9">
        <f t="shared" si="4"/>
        <v>1.2166529024000003</v>
      </c>
      <c r="H29" s="9">
        <f t="shared" si="4"/>
        <v>1.2653190184960004</v>
      </c>
      <c r="I29" s="9">
        <f t="shared" si="4"/>
        <v>1.3159317792358405</v>
      </c>
      <c r="J29" s="9">
        <f t="shared" si="4"/>
        <v>1.3685690504052741</v>
      </c>
      <c r="K29" s="9">
        <f t="shared" si="4"/>
        <v>1.4233118124214852</v>
      </c>
      <c r="L29" s="9">
        <f t="shared" si="4"/>
        <v>1.4802442849183446</v>
      </c>
      <c r="M29" s="9">
        <f t="shared" si="4"/>
        <v>1.5394540563150785</v>
      </c>
      <c r="N29" s="9">
        <f t="shared" si="4"/>
        <v>1.6010322185676817</v>
      </c>
      <c r="O29" s="9">
        <f t="shared" si="4"/>
        <v>1.6650735073103891</v>
      </c>
      <c r="P29" s="9">
        <f t="shared" si="4"/>
        <v>1.7316764476028046</v>
      </c>
      <c r="Q29" s="9">
        <f t="shared" si="4"/>
        <v>1.8009435055069167</v>
      </c>
      <c r="R29" s="9">
        <f t="shared" si="4"/>
        <v>1.8729812457271935</v>
      </c>
      <c r="S29" s="9">
        <f t="shared" si="4"/>
        <v>1.9479004955562813</v>
      </c>
      <c r="T29" s="9">
        <f t="shared" si="4"/>
        <v>2.0258165153785326</v>
      </c>
      <c r="U29" s="9">
        <f t="shared" si="4"/>
        <v>2.1068491759936738</v>
      </c>
      <c r="V29" s="9">
        <f t="shared" si="4"/>
        <v>2.1911231430334208</v>
      </c>
      <c r="W29" s="9">
        <f t="shared" si="4"/>
        <v>2.2787680687547578</v>
      </c>
      <c r="X29" s="9">
        <f t="shared" si="4"/>
        <v>2.369918791504948</v>
      </c>
      <c r="Y29" s="9">
        <f t="shared" si="4"/>
        <v>2.4647155431651462</v>
      </c>
      <c r="Z29" s="9">
        <f t="shared" si="4"/>
        <v>2.5633041648917523</v>
      </c>
      <c r="AA29" s="9">
        <f t="shared" si="4"/>
        <v>2.6658363314874225</v>
      </c>
      <c r="AB29" s="9">
        <f t="shared" si="4"/>
        <v>2.7724697847469195</v>
      </c>
      <c r="AC29" s="9">
        <f t="shared" si="4"/>
        <v>2.8833685761367964</v>
      </c>
    </row>
    <row r="30" spans="1:29" ht="15" x14ac:dyDescent="0.25">
      <c r="A30" s="6" t="s">
        <v>21</v>
      </c>
      <c r="B30" s="1">
        <v>1</v>
      </c>
      <c r="C30" s="9">
        <f t="shared" si="3"/>
        <v>1.04</v>
      </c>
      <c r="D30" s="9">
        <f t="shared" si="4"/>
        <v>1.0816000000000001</v>
      </c>
      <c r="E30" s="9">
        <f t="shared" si="4"/>
        <v>1.1248640000000001</v>
      </c>
      <c r="F30" s="9">
        <f t="shared" si="4"/>
        <v>1.1698585600000002</v>
      </c>
      <c r="G30" s="9">
        <f t="shared" si="4"/>
        <v>1.2166529024000003</v>
      </c>
      <c r="H30" s="9">
        <f t="shared" si="4"/>
        <v>1.2653190184960004</v>
      </c>
      <c r="I30" s="9">
        <f t="shared" si="4"/>
        <v>1.3159317792358405</v>
      </c>
      <c r="J30" s="9">
        <f t="shared" si="4"/>
        <v>1.3685690504052741</v>
      </c>
      <c r="K30" s="9">
        <f t="shared" si="4"/>
        <v>1.4233118124214852</v>
      </c>
      <c r="L30" s="9">
        <f t="shared" si="4"/>
        <v>1.4802442849183446</v>
      </c>
      <c r="M30" s="9">
        <f t="shared" si="4"/>
        <v>1.5394540563150785</v>
      </c>
      <c r="N30" s="9">
        <f t="shared" si="4"/>
        <v>1.6010322185676817</v>
      </c>
      <c r="O30" s="9">
        <f t="shared" si="4"/>
        <v>1.6650735073103891</v>
      </c>
      <c r="P30" s="9">
        <f t="shared" si="4"/>
        <v>1.7316764476028046</v>
      </c>
      <c r="Q30" s="9">
        <f t="shared" si="4"/>
        <v>1.8009435055069167</v>
      </c>
      <c r="R30" s="9">
        <f t="shared" si="4"/>
        <v>1.8729812457271935</v>
      </c>
      <c r="S30" s="9">
        <f t="shared" si="4"/>
        <v>1.9479004955562813</v>
      </c>
      <c r="T30" s="9">
        <f t="shared" si="4"/>
        <v>2.0258165153785326</v>
      </c>
      <c r="U30" s="9">
        <f t="shared" si="4"/>
        <v>2.1068491759936738</v>
      </c>
      <c r="V30" s="9">
        <f t="shared" si="4"/>
        <v>2.1911231430334208</v>
      </c>
      <c r="W30" s="9">
        <f t="shared" si="4"/>
        <v>2.2787680687547578</v>
      </c>
      <c r="X30" s="9">
        <f t="shared" si="4"/>
        <v>2.369918791504948</v>
      </c>
      <c r="Y30" s="9">
        <f t="shared" si="4"/>
        <v>2.4647155431651462</v>
      </c>
      <c r="Z30" s="9">
        <f t="shared" si="4"/>
        <v>2.5633041648917523</v>
      </c>
      <c r="AA30" s="9">
        <f t="shared" si="4"/>
        <v>2.6658363314874225</v>
      </c>
      <c r="AB30" s="9">
        <f t="shared" si="4"/>
        <v>2.7724697847469195</v>
      </c>
      <c r="AC30" s="9">
        <f t="shared" si="4"/>
        <v>2.8833685761367964</v>
      </c>
    </row>
    <row r="31" spans="1:29" x14ac:dyDescent="0.15">
      <c r="A31" s="2" t="s">
        <v>29</v>
      </c>
      <c r="B31" s="1">
        <v>1</v>
      </c>
      <c r="C31" s="9">
        <f t="shared" si="3"/>
        <v>1.04</v>
      </c>
      <c r="D31" s="9">
        <f t="shared" si="4"/>
        <v>1.0816000000000001</v>
      </c>
      <c r="E31" s="9">
        <f t="shared" si="4"/>
        <v>1.1248640000000001</v>
      </c>
      <c r="F31" s="9">
        <f t="shared" si="4"/>
        <v>1.1698585600000002</v>
      </c>
      <c r="G31" s="9">
        <f t="shared" si="4"/>
        <v>1.2166529024000003</v>
      </c>
      <c r="H31" s="9">
        <f t="shared" si="4"/>
        <v>1.2653190184960004</v>
      </c>
      <c r="I31" s="9">
        <f t="shared" si="4"/>
        <v>1.3159317792358405</v>
      </c>
      <c r="J31" s="9">
        <f t="shared" si="4"/>
        <v>1.3685690504052741</v>
      </c>
      <c r="K31" s="9">
        <f t="shared" si="4"/>
        <v>1.4233118124214852</v>
      </c>
      <c r="L31" s="9">
        <f t="shared" si="4"/>
        <v>1.4802442849183446</v>
      </c>
      <c r="M31" s="9">
        <f t="shared" si="4"/>
        <v>1.5394540563150785</v>
      </c>
      <c r="N31" s="9">
        <f t="shared" si="4"/>
        <v>1.6010322185676817</v>
      </c>
      <c r="O31" s="9">
        <f t="shared" si="4"/>
        <v>1.6650735073103891</v>
      </c>
      <c r="P31" s="9">
        <f t="shared" si="4"/>
        <v>1.7316764476028046</v>
      </c>
      <c r="Q31" s="9">
        <f t="shared" si="4"/>
        <v>1.8009435055069167</v>
      </c>
      <c r="R31" s="9">
        <f t="shared" si="4"/>
        <v>1.8729812457271935</v>
      </c>
      <c r="S31" s="9">
        <f t="shared" si="4"/>
        <v>1.9479004955562813</v>
      </c>
      <c r="T31" s="9">
        <f t="shared" si="4"/>
        <v>2.0258165153785326</v>
      </c>
      <c r="U31" s="9">
        <f t="shared" si="4"/>
        <v>2.1068491759936738</v>
      </c>
      <c r="V31" s="9">
        <f t="shared" si="4"/>
        <v>2.1911231430334208</v>
      </c>
      <c r="W31" s="9">
        <f t="shared" si="4"/>
        <v>2.2787680687547578</v>
      </c>
      <c r="X31" s="9">
        <f t="shared" si="4"/>
        <v>2.369918791504948</v>
      </c>
      <c r="Y31" s="9">
        <f t="shared" si="4"/>
        <v>2.4647155431651462</v>
      </c>
      <c r="Z31" s="9">
        <f t="shared" si="4"/>
        <v>2.5633041648917523</v>
      </c>
      <c r="AA31" s="9">
        <f t="shared" si="4"/>
        <v>2.6658363314874225</v>
      </c>
      <c r="AB31" s="9">
        <f t="shared" si="4"/>
        <v>2.7724697847469195</v>
      </c>
      <c r="AC31" s="9">
        <f t="shared" si="4"/>
        <v>2.8833685761367964</v>
      </c>
    </row>
    <row r="32" spans="1:29" x14ac:dyDescent="0.15">
      <c r="A32" s="2" t="s">
        <v>33</v>
      </c>
      <c r="B32" s="1">
        <v>1</v>
      </c>
      <c r="C32" s="9">
        <f t="shared" si="3"/>
        <v>1.04</v>
      </c>
      <c r="D32" s="9">
        <f t="shared" si="3"/>
        <v>1.0816000000000001</v>
      </c>
      <c r="E32" s="9">
        <f t="shared" si="3"/>
        <v>1.1248640000000001</v>
      </c>
      <c r="F32" s="9">
        <f t="shared" si="3"/>
        <v>1.1698585600000002</v>
      </c>
      <c r="G32" s="9">
        <f t="shared" si="3"/>
        <v>1.2166529024000003</v>
      </c>
      <c r="H32" s="9">
        <f t="shared" si="3"/>
        <v>1.2653190184960004</v>
      </c>
      <c r="I32" s="9">
        <f t="shared" si="3"/>
        <v>1.3159317792358405</v>
      </c>
      <c r="J32" s="9">
        <f t="shared" si="3"/>
        <v>1.3685690504052741</v>
      </c>
      <c r="K32" s="9">
        <f t="shared" si="3"/>
        <v>1.4233118124214852</v>
      </c>
      <c r="L32" s="9">
        <f t="shared" si="3"/>
        <v>1.4802442849183446</v>
      </c>
      <c r="M32" s="9">
        <f t="shared" si="3"/>
        <v>1.5394540563150785</v>
      </c>
      <c r="N32" s="9">
        <f t="shared" si="3"/>
        <v>1.6010322185676817</v>
      </c>
      <c r="O32" s="9">
        <f t="shared" si="3"/>
        <v>1.6650735073103891</v>
      </c>
      <c r="P32" s="9">
        <f t="shared" si="3"/>
        <v>1.7316764476028046</v>
      </c>
      <c r="Q32" s="9">
        <f t="shared" si="3"/>
        <v>1.8009435055069167</v>
      </c>
      <c r="R32" s="9">
        <f t="shared" si="3"/>
        <v>1.8729812457271935</v>
      </c>
      <c r="S32" s="9">
        <f t="shared" ref="S32:AC32" si="5">R32*1.04</f>
        <v>1.9479004955562813</v>
      </c>
      <c r="T32" s="9">
        <f t="shared" si="5"/>
        <v>2.0258165153785326</v>
      </c>
      <c r="U32" s="9">
        <f t="shared" si="5"/>
        <v>2.1068491759936738</v>
      </c>
      <c r="V32" s="9">
        <f t="shared" si="5"/>
        <v>2.1911231430334208</v>
      </c>
      <c r="W32" s="9">
        <f t="shared" si="5"/>
        <v>2.2787680687547578</v>
      </c>
      <c r="X32" s="9">
        <f t="shared" si="5"/>
        <v>2.369918791504948</v>
      </c>
      <c r="Y32" s="9">
        <f t="shared" si="5"/>
        <v>2.4647155431651462</v>
      </c>
      <c r="Z32" s="9">
        <f t="shared" si="5"/>
        <v>2.5633041648917523</v>
      </c>
      <c r="AA32" s="9">
        <f t="shared" si="5"/>
        <v>2.6658363314874225</v>
      </c>
      <c r="AB32" s="9">
        <f t="shared" si="5"/>
        <v>2.7724697847469195</v>
      </c>
      <c r="AC32" s="9">
        <f t="shared" si="5"/>
        <v>2.8833685761367964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7C8D-6BB3-47C2-985C-9B0EA4197B72}">
  <dimension ref="A1:AC32"/>
  <sheetViews>
    <sheetView zoomScale="115" zoomScaleNormal="115" workbookViewId="0">
      <selection activeCell="A2" sqref="A2:A32"/>
    </sheetView>
  </sheetViews>
  <sheetFormatPr defaultRowHeight="13.5" x14ac:dyDescent="0.15"/>
  <sheetData>
    <row r="1" spans="1:29" ht="15" x14ac:dyDescent="0.25">
      <c r="A1" s="1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</row>
    <row r="2" spans="1:29" x14ac:dyDescent="0.15">
      <c r="A2" s="2" t="s">
        <v>4</v>
      </c>
      <c r="B2" s="1">
        <v>1</v>
      </c>
      <c r="C2" s="9">
        <f>B2*1.08</f>
        <v>1.08</v>
      </c>
      <c r="D2" s="9">
        <f t="shared" ref="D2:AC12" si="0">C2*1.08</f>
        <v>1.1664000000000001</v>
      </c>
      <c r="E2" s="9">
        <f t="shared" si="0"/>
        <v>1.2597120000000002</v>
      </c>
      <c r="F2" s="9">
        <f t="shared" si="0"/>
        <v>1.3604889600000003</v>
      </c>
      <c r="G2" s="9">
        <f t="shared" si="0"/>
        <v>1.4693280768000003</v>
      </c>
      <c r="H2" s="9">
        <f t="shared" si="0"/>
        <v>1.5868743229440005</v>
      </c>
      <c r="I2" s="9">
        <f t="shared" si="0"/>
        <v>1.7138242687795207</v>
      </c>
      <c r="J2" s="9">
        <f t="shared" si="0"/>
        <v>1.8509302102818825</v>
      </c>
      <c r="K2" s="9">
        <f t="shared" si="0"/>
        <v>1.9990046271044333</v>
      </c>
      <c r="L2" s="9">
        <f t="shared" si="0"/>
        <v>2.1589249972727882</v>
      </c>
      <c r="M2" s="9">
        <f t="shared" si="0"/>
        <v>2.3316389970546112</v>
      </c>
      <c r="N2" s="9">
        <f t="shared" si="0"/>
        <v>2.5181701168189803</v>
      </c>
      <c r="O2" s="9">
        <f t="shared" si="0"/>
        <v>2.7196237261644991</v>
      </c>
      <c r="P2" s="9">
        <f t="shared" si="0"/>
        <v>2.9371936242576591</v>
      </c>
      <c r="Q2" s="9">
        <f t="shared" si="0"/>
        <v>3.172169114198272</v>
      </c>
      <c r="R2" s="9">
        <f t="shared" si="0"/>
        <v>3.425942643334134</v>
      </c>
      <c r="S2" s="9">
        <f t="shared" si="0"/>
        <v>3.7000180548008648</v>
      </c>
      <c r="T2" s="9">
        <f t="shared" si="0"/>
        <v>3.9960194991849343</v>
      </c>
      <c r="U2" s="9">
        <f t="shared" si="0"/>
        <v>4.3157010591197293</v>
      </c>
      <c r="V2" s="9">
        <f t="shared" si="0"/>
        <v>4.6609571438493083</v>
      </c>
      <c r="W2" s="9">
        <f t="shared" si="0"/>
        <v>5.033833715357253</v>
      </c>
      <c r="X2" s="9">
        <f t="shared" si="0"/>
        <v>5.4365404125858339</v>
      </c>
      <c r="Y2" s="9">
        <f t="shared" si="0"/>
        <v>5.8714636455927014</v>
      </c>
      <c r="Z2" s="9">
        <f t="shared" si="0"/>
        <v>6.3411807372401183</v>
      </c>
      <c r="AA2" s="9">
        <f t="shared" si="0"/>
        <v>6.8484751962193284</v>
      </c>
      <c r="AB2" s="9">
        <f t="shared" si="0"/>
        <v>7.3963532119168756</v>
      </c>
      <c r="AC2" s="9">
        <f t="shared" si="0"/>
        <v>7.9880614688702263</v>
      </c>
    </row>
    <row r="3" spans="1:29" x14ac:dyDescent="0.15">
      <c r="A3" s="2" t="s">
        <v>28</v>
      </c>
      <c r="B3" s="1">
        <v>1</v>
      </c>
      <c r="C3" s="9">
        <f t="shared" ref="C3:R32" si="1">B3*1.08</f>
        <v>1.08</v>
      </c>
      <c r="D3" s="9">
        <f t="shared" si="1"/>
        <v>1.1664000000000001</v>
      </c>
      <c r="E3" s="9">
        <f t="shared" si="1"/>
        <v>1.2597120000000002</v>
      </c>
      <c r="F3" s="9">
        <f t="shared" si="1"/>
        <v>1.3604889600000003</v>
      </c>
      <c r="G3" s="9">
        <f t="shared" si="1"/>
        <v>1.4693280768000003</v>
      </c>
      <c r="H3" s="9">
        <f t="shared" si="1"/>
        <v>1.5868743229440005</v>
      </c>
      <c r="I3" s="9">
        <f t="shared" si="1"/>
        <v>1.7138242687795207</v>
      </c>
      <c r="J3" s="9">
        <f t="shared" si="1"/>
        <v>1.8509302102818825</v>
      </c>
      <c r="K3" s="9">
        <f t="shared" si="1"/>
        <v>1.9990046271044333</v>
      </c>
      <c r="L3" s="9">
        <f t="shared" si="1"/>
        <v>2.1589249972727882</v>
      </c>
      <c r="M3" s="9">
        <f t="shared" si="1"/>
        <v>2.3316389970546112</v>
      </c>
      <c r="N3" s="9">
        <f t="shared" si="1"/>
        <v>2.5181701168189803</v>
      </c>
      <c r="O3" s="9">
        <f t="shared" si="1"/>
        <v>2.7196237261644991</v>
      </c>
      <c r="P3" s="9">
        <f t="shared" si="1"/>
        <v>2.9371936242576591</v>
      </c>
      <c r="Q3" s="9">
        <f t="shared" si="1"/>
        <v>3.172169114198272</v>
      </c>
      <c r="R3" s="9">
        <f t="shared" si="1"/>
        <v>3.425942643334134</v>
      </c>
      <c r="S3" s="9">
        <f t="shared" si="0"/>
        <v>3.7000180548008648</v>
      </c>
      <c r="T3" s="9">
        <f t="shared" si="0"/>
        <v>3.9960194991849343</v>
      </c>
      <c r="U3" s="9">
        <f t="shared" si="0"/>
        <v>4.3157010591197293</v>
      </c>
      <c r="V3" s="9">
        <f t="shared" si="0"/>
        <v>4.6609571438493083</v>
      </c>
      <c r="W3" s="9">
        <f t="shared" si="0"/>
        <v>5.033833715357253</v>
      </c>
      <c r="X3" s="9">
        <f t="shared" si="0"/>
        <v>5.4365404125858339</v>
      </c>
      <c r="Y3" s="9">
        <f t="shared" si="0"/>
        <v>5.8714636455927014</v>
      </c>
      <c r="Z3" s="9">
        <f t="shared" si="0"/>
        <v>6.3411807372401183</v>
      </c>
      <c r="AA3" s="9">
        <f t="shared" si="0"/>
        <v>6.8484751962193284</v>
      </c>
      <c r="AB3" s="9">
        <f t="shared" si="0"/>
        <v>7.3963532119168756</v>
      </c>
      <c r="AC3" s="9">
        <f t="shared" si="0"/>
        <v>7.9880614688702263</v>
      </c>
    </row>
    <row r="4" spans="1:29" x14ac:dyDescent="0.15">
      <c r="A4" s="2" t="s">
        <v>12</v>
      </c>
      <c r="B4" s="1">
        <v>1</v>
      </c>
      <c r="C4" s="9">
        <f t="shared" si="1"/>
        <v>1.08</v>
      </c>
      <c r="D4" s="9">
        <f t="shared" si="0"/>
        <v>1.1664000000000001</v>
      </c>
      <c r="E4" s="9">
        <f t="shared" si="0"/>
        <v>1.2597120000000002</v>
      </c>
      <c r="F4" s="9">
        <f t="shared" si="0"/>
        <v>1.3604889600000003</v>
      </c>
      <c r="G4" s="9">
        <f t="shared" si="0"/>
        <v>1.4693280768000003</v>
      </c>
      <c r="H4" s="9">
        <f t="shared" si="0"/>
        <v>1.5868743229440005</v>
      </c>
      <c r="I4" s="9">
        <f t="shared" si="0"/>
        <v>1.7138242687795207</v>
      </c>
      <c r="J4" s="9">
        <f t="shared" si="0"/>
        <v>1.8509302102818825</v>
      </c>
      <c r="K4" s="9">
        <f t="shared" si="0"/>
        <v>1.9990046271044333</v>
      </c>
      <c r="L4" s="9">
        <f t="shared" si="0"/>
        <v>2.1589249972727882</v>
      </c>
      <c r="M4" s="9">
        <f t="shared" si="0"/>
        <v>2.3316389970546112</v>
      </c>
      <c r="N4" s="9">
        <f t="shared" si="0"/>
        <v>2.5181701168189803</v>
      </c>
      <c r="O4" s="9">
        <f t="shared" si="0"/>
        <v>2.7196237261644991</v>
      </c>
      <c r="P4" s="9">
        <f t="shared" si="0"/>
        <v>2.9371936242576591</v>
      </c>
      <c r="Q4" s="9">
        <f t="shared" si="0"/>
        <v>3.172169114198272</v>
      </c>
      <c r="R4" s="9">
        <f t="shared" si="0"/>
        <v>3.425942643334134</v>
      </c>
      <c r="S4" s="9">
        <f t="shared" si="0"/>
        <v>3.7000180548008648</v>
      </c>
      <c r="T4" s="9">
        <f t="shared" si="0"/>
        <v>3.9960194991849343</v>
      </c>
      <c r="U4" s="9">
        <f t="shared" si="0"/>
        <v>4.3157010591197293</v>
      </c>
      <c r="V4" s="9">
        <f t="shared" si="0"/>
        <v>4.6609571438493083</v>
      </c>
      <c r="W4" s="9">
        <f t="shared" si="0"/>
        <v>5.033833715357253</v>
      </c>
      <c r="X4" s="9">
        <f t="shared" si="0"/>
        <v>5.4365404125858339</v>
      </c>
      <c r="Y4" s="9">
        <f t="shared" si="0"/>
        <v>5.8714636455927014</v>
      </c>
      <c r="Z4" s="9">
        <f t="shared" si="0"/>
        <v>6.3411807372401183</v>
      </c>
      <c r="AA4" s="9">
        <f t="shared" si="0"/>
        <v>6.8484751962193284</v>
      </c>
      <c r="AB4" s="9">
        <f t="shared" si="0"/>
        <v>7.3963532119168756</v>
      </c>
      <c r="AC4" s="9">
        <f t="shared" si="0"/>
        <v>7.9880614688702263</v>
      </c>
    </row>
    <row r="5" spans="1:29" x14ac:dyDescent="0.15">
      <c r="A5" s="2" t="s">
        <v>26</v>
      </c>
      <c r="B5" s="1">
        <v>1</v>
      </c>
      <c r="C5" s="9">
        <f t="shared" si="1"/>
        <v>1.08</v>
      </c>
      <c r="D5" s="9">
        <f t="shared" si="0"/>
        <v>1.1664000000000001</v>
      </c>
      <c r="E5" s="9">
        <f t="shared" si="0"/>
        <v>1.2597120000000002</v>
      </c>
      <c r="F5" s="9">
        <f t="shared" si="0"/>
        <v>1.3604889600000003</v>
      </c>
      <c r="G5" s="9">
        <f t="shared" si="0"/>
        <v>1.4693280768000003</v>
      </c>
      <c r="H5" s="9">
        <f t="shared" si="0"/>
        <v>1.5868743229440005</v>
      </c>
      <c r="I5" s="9">
        <f t="shared" si="0"/>
        <v>1.7138242687795207</v>
      </c>
      <c r="J5" s="9">
        <f t="shared" si="0"/>
        <v>1.8509302102818825</v>
      </c>
      <c r="K5" s="9">
        <f t="shared" si="0"/>
        <v>1.9990046271044333</v>
      </c>
      <c r="L5" s="9">
        <f t="shared" si="0"/>
        <v>2.1589249972727882</v>
      </c>
      <c r="M5" s="9">
        <f t="shared" si="0"/>
        <v>2.3316389970546112</v>
      </c>
      <c r="N5" s="9">
        <f t="shared" si="0"/>
        <v>2.5181701168189803</v>
      </c>
      <c r="O5" s="9">
        <f t="shared" si="0"/>
        <v>2.7196237261644991</v>
      </c>
      <c r="P5" s="9">
        <f t="shared" si="0"/>
        <v>2.9371936242576591</v>
      </c>
      <c r="Q5" s="9">
        <f t="shared" si="0"/>
        <v>3.172169114198272</v>
      </c>
      <c r="R5" s="9">
        <f t="shared" si="0"/>
        <v>3.425942643334134</v>
      </c>
      <c r="S5" s="9">
        <f t="shared" si="0"/>
        <v>3.7000180548008648</v>
      </c>
      <c r="T5" s="9">
        <f t="shared" si="0"/>
        <v>3.9960194991849343</v>
      </c>
      <c r="U5" s="9">
        <f t="shared" si="0"/>
        <v>4.3157010591197293</v>
      </c>
      <c r="V5" s="9">
        <f t="shared" si="0"/>
        <v>4.6609571438493083</v>
      </c>
      <c r="W5" s="9">
        <f t="shared" si="0"/>
        <v>5.033833715357253</v>
      </c>
      <c r="X5" s="9">
        <f t="shared" si="0"/>
        <v>5.4365404125858339</v>
      </c>
      <c r="Y5" s="9">
        <f t="shared" si="0"/>
        <v>5.8714636455927014</v>
      </c>
      <c r="Z5" s="9">
        <f t="shared" si="0"/>
        <v>6.3411807372401183</v>
      </c>
      <c r="AA5" s="9">
        <f t="shared" si="0"/>
        <v>6.8484751962193284</v>
      </c>
      <c r="AB5" s="9">
        <f t="shared" si="0"/>
        <v>7.3963532119168756</v>
      </c>
      <c r="AC5" s="9">
        <f t="shared" si="0"/>
        <v>7.9880614688702263</v>
      </c>
    </row>
    <row r="6" spans="1:29" x14ac:dyDescent="0.15">
      <c r="A6" s="2" t="s">
        <v>32</v>
      </c>
      <c r="B6" s="1">
        <v>1</v>
      </c>
      <c r="C6" s="9">
        <f t="shared" si="1"/>
        <v>1.08</v>
      </c>
      <c r="D6" s="9">
        <f t="shared" si="0"/>
        <v>1.1664000000000001</v>
      </c>
      <c r="E6" s="9">
        <f t="shared" si="0"/>
        <v>1.2597120000000002</v>
      </c>
      <c r="F6" s="9">
        <f t="shared" si="0"/>
        <v>1.3604889600000003</v>
      </c>
      <c r="G6" s="9">
        <f t="shared" si="0"/>
        <v>1.4693280768000003</v>
      </c>
      <c r="H6" s="9">
        <f t="shared" si="0"/>
        <v>1.5868743229440005</v>
      </c>
      <c r="I6" s="9">
        <f t="shared" si="0"/>
        <v>1.7138242687795207</v>
      </c>
      <c r="J6" s="9">
        <f t="shared" si="0"/>
        <v>1.8509302102818825</v>
      </c>
      <c r="K6" s="9">
        <f t="shared" si="0"/>
        <v>1.9990046271044333</v>
      </c>
      <c r="L6" s="9">
        <f t="shared" si="0"/>
        <v>2.1589249972727882</v>
      </c>
      <c r="M6" s="9">
        <f t="shared" si="0"/>
        <v>2.3316389970546112</v>
      </c>
      <c r="N6" s="9">
        <f t="shared" si="0"/>
        <v>2.5181701168189803</v>
      </c>
      <c r="O6" s="9">
        <f t="shared" si="0"/>
        <v>2.7196237261644991</v>
      </c>
      <c r="P6" s="9">
        <f t="shared" si="0"/>
        <v>2.9371936242576591</v>
      </c>
      <c r="Q6" s="9">
        <f t="shared" si="0"/>
        <v>3.172169114198272</v>
      </c>
      <c r="R6" s="9">
        <f t="shared" si="0"/>
        <v>3.425942643334134</v>
      </c>
      <c r="S6" s="9">
        <f t="shared" si="0"/>
        <v>3.7000180548008648</v>
      </c>
      <c r="T6" s="9">
        <f t="shared" si="0"/>
        <v>3.9960194991849343</v>
      </c>
      <c r="U6" s="9">
        <f t="shared" si="0"/>
        <v>4.3157010591197293</v>
      </c>
      <c r="V6" s="9">
        <f t="shared" si="0"/>
        <v>4.6609571438493083</v>
      </c>
      <c r="W6" s="9">
        <f t="shared" si="0"/>
        <v>5.033833715357253</v>
      </c>
      <c r="X6" s="9">
        <f t="shared" si="0"/>
        <v>5.4365404125858339</v>
      </c>
      <c r="Y6" s="9">
        <f t="shared" si="0"/>
        <v>5.8714636455927014</v>
      </c>
      <c r="Z6" s="9">
        <f t="shared" si="0"/>
        <v>6.3411807372401183</v>
      </c>
      <c r="AA6" s="9">
        <f t="shared" si="0"/>
        <v>6.8484751962193284</v>
      </c>
      <c r="AB6" s="9">
        <f t="shared" si="0"/>
        <v>7.3963532119168756</v>
      </c>
      <c r="AC6" s="9">
        <f t="shared" si="0"/>
        <v>7.9880614688702263</v>
      </c>
    </row>
    <row r="7" spans="1:29" x14ac:dyDescent="0.15">
      <c r="A7" s="2" t="s">
        <v>20</v>
      </c>
      <c r="B7" s="1">
        <v>1</v>
      </c>
      <c r="C7" s="9">
        <f t="shared" si="1"/>
        <v>1.08</v>
      </c>
      <c r="D7" s="9">
        <f t="shared" si="0"/>
        <v>1.1664000000000001</v>
      </c>
      <c r="E7" s="9">
        <f t="shared" si="0"/>
        <v>1.2597120000000002</v>
      </c>
      <c r="F7" s="9">
        <f t="shared" si="0"/>
        <v>1.3604889600000003</v>
      </c>
      <c r="G7" s="9">
        <f t="shared" si="0"/>
        <v>1.4693280768000003</v>
      </c>
      <c r="H7" s="9">
        <f t="shared" si="0"/>
        <v>1.5868743229440005</v>
      </c>
      <c r="I7" s="9">
        <f t="shared" si="0"/>
        <v>1.7138242687795207</v>
      </c>
      <c r="J7" s="9">
        <f t="shared" si="0"/>
        <v>1.8509302102818825</v>
      </c>
      <c r="K7" s="9">
        <f t="shared" si="0"/>
        <v>1.9990046271044333</v>
      </c>
      <c r="L7" s="9">
        <f t="shared" si="0"/>
        <v>2.1589249972727882</v>
      </c>
      <c r="M7" s="9">
        <f t="shared" si="0"/>
        <v>2.3316389970546112</v>
      </c>
      <c r="N7" s="9">
        <f t="shared" si="0"/>
        <v>2.5181701168189803</v>
      </c>
      <c r="O7" s="9">
        <f t="shared" si="0"/>
        <v>2.7196237261644991</v>
      </c>
      <c r="P7" s="9">
        <f t="shared" si="0"/>
        <v>2.9371936242576591</v>
      </c>
      <c r="Q7" s="9">
        <f t="shared" si="0"/>
        <v>3.172169114198272</v>
      </c>
      <c r="R7" s="9">
        <f t="shared" si="0"/>
        <v>3.425942643334134</v>
      </c>
      <c r="S7" s="9">
        <f t="shared" si="0"/>
        <v>3.7000180548008648</v>
      </c>
      <c r="T7" s="9">
        <f t="shared" si="0"/>
        <v>3.9960194991849343</v>
      </c>
      <c r="U7" s="9">
        <f t="shared" si="0"/>
        <v>4.3157010591197293</v>
      </c>
      <c r="V7" s="9">
        <f t="shared" si="0"/>
        <v>4.6609571438493083</v>
      </c>
      <c r="W7" s="9">
        <f t="shared" si="0"/>
        <v>5.033833715357253</v>
      </c>
      <c r="X7" s="9">
        <f t="shared" si="0"/>
        <v>5.4365404125858339</v>
      </c>
      <c r="Y7" s="9">
        <f t="shared" si="0"/>
        <v>5.8714636455927014</v>
      </c>
      <c r="Z7" s="9">
        <f t="shared" si="0"/>
        <v>6.3411807372401183</v>
      </c>
      <c r="AA7" s="9">
        <f t="shared" si="0"/>
        <v>6.8484751962193284</v>
      </c>
      <c r="AB7" s="9">
        <f t="shared" si="0"/>
        <v>7.3963532119168756</v>
      </c>
      <c r="AC7" s="9">
        <f t="shared" si="0"/>
        <v>7.9880614688702263</v>
      </c>
    </row>
    <row r="8" spans="1:29" x14ac:dyDescent="0.15">
      <c r="A8" s="2" t="s">
        <v>19</v>
      </c>
      <c r="B8" s="1">
        <v>1</v>
      </c>
      <c r="C8" s="9">
        <f t="shared" si="1"/>
        <v>1.08</v>
      </c>
      <c r="D8" s="9">
        <f t="shared" si="0"/>
        <v>1.1664000000000001</v>
      </c>
      <c r="E8" s="9">
        <f t="shared" si="0"/>
        <v>1.2597120000000002</v>
      </c>
      <c r="F8" s="9">
        <f t="shared" si="0"/>
        <v>1.3604889600000003</v>
      </c>
      <c r="G8" s="9">
        <f t="shared" si="0"/>
        <v>1.4693280768000003</v>
      </c>
      <c r="H8" s="9">
        <f t="shared" si="0"/>
        <v>1.5868743229440005</v>
      </c>
      <c r="I8" s="9">
        <f t="shared" si="0"/>
        <v>1.7138242687795207</v>
      </c>
      <c r="J8" s="9">
        <f t="shared" si="0"/>
        <v>1.8509302102818825</v>
      </c>
      <c r="K8" s="9">
        <f t="shared" si="0"/>
        <v>1.9990046271044333</v>
      </c>
      <c r="L8" s="9">
        <f t="shared" si="0"/>
        <v>2.1589249972727882</v>
      </c>
      <c r="M8" s="9">
        <f t="shared" si="0"/>
        <v>2.3316389970546112</v>
      </c>
      <c r="N8" s="9">
        <f t="shared" si="0"/>
        <v>2.5181701168189803</v>
      </c>
      <c r="O8" s="9">
        <f t="shared" si="0"/>
        <v>2.7196237261644991</v>
      </c>
      <c r="P8" s="9">
        <f t="shared" si="0"/>
        <v>2.9371936242576591</v>
      </c>
      <c r="Q8" s="9">
        <f t="shared" si="0"/>
        <v>3.172169114198272</v>
      </c>
      <c r="R8" s="9">
        <f t="shared" si="0"/>
        <v>3.425942643334134</v>
      </c>
      <c r="S8" s="9">
        <f t="shared" si="0"/>
        <v>3.7000180548008648</v>
      </c>
      <c r="T8" s="9">
        <f t="shared" si="0"/>
        <v>3.9960194991849343</v>
      </c>
      <c r="U8" s="9">
        <f t="shared" si="0"/>
        <v>4.3157010591197293</v>
      </c>
      <c r="V8" s="9">
        <f t="shared" si="0"/>
        <v>4.6609571438493083</v>
      </c>
      <c r="W8" s="9">
        <f t="shared" si="0"/>
        <v>5.033833715357253</v>
      </c>
      <c r="X8" s="9">
        <f t="shared" si="0"/>
        <v>5.4365404125858339</v>
      </c>
      <c r="Y8" s="9">
        <f t="shared" si="0"/>
        <v>5.8714636455927014</v>
      </c>
      <c r="Z8" s="9">
        <f t="shared" si="0"/>
        <v>6.3411807372401183</v>
      </c>
      <c r="AA8" s="9">
        <f t="shared" si="0"/>
        <v>6.8484751962193284</v>
      </c>
      <c r="AB8" s="9">
        <f t="shared" si="0"/>
        <v>7.3963532119168756</v>
      </c>
      <c r="AC8" s="9">
        <f t="shared" si="0"/>
        <v>7.9880614688702263</v>
      </c>
    </row>
    <row r="9" spans="1:29" x14ac:dyDescent="0.15">
      <c r="A9" s="2" t="s">
        <v>13</v>
      </c>
      <c r="B9" s="1">
        <v>1</v>
      </c>
      <c r="C9" s="9">
        <f t="shared" si="1"/>
        <v>1.08</v>
      </c>
      <c r="D9" s="9">
        <f t="shared" si="0"/>
        <v>1.1664000000000001</v>
      </c>
      <c r="E9" s="9">
        <f t="shared" si="0"/>
        <v>1.2597120000000002</v>
      </c>
      <c r="F9" s="9">
        <f t="shared" si="0"/>
        <v>1.3604889600000003</v>
      </c>
      <c r="G9" s="9">
        <f t="shared" si="0"/>
        <v>1.4693280768000003</v>
      </c>
      <c r="H9" s="9">
        <f t="shared" si="0"/>
        <v>1.5868743229440005</v>
      </c>
      <c r="I9" s="9">
        <f t="shared" si="0"/>
        <v>1.7138242687795207</v>
      </c>
      <c r="J9" s="9">
        <f t="shared" si="0"/>
        <v>1.8509302102818825</v>
      </c>
      <c r="K9" s="9">
        <f t="shared" si="0"/>
        <v>1.9990046271044333</v>
      </c>
      <c r="L9" s="9">
        <f t="shared" si="0"/>
        <v>2.1589249972727882</v>
      </c>
      <c r="M9" s="9">
        <f t="shared" si="0"/>
        <v>2.3316389970546112</v>
      </c>
      <c r="N9" s="9">
        <f t="shared" si="0"/>
        <v>2.5181701168189803</v>
      </c>
      <c r="O9" s="9">
        <f t="shared" si="0"/>
        <v>2.7196237261644991</v>
      </c>
      <c r="P9" s="9">
        <f t="shared" si="0"/>
        <v>2.9371936242576591</v>
      </c>
      <c r="Q9" s="9">
        <f t="shared" si="0"/>
        <v>3.172169114198272</v>
      </c>
      <c r="R9" s="9">
        <f t="shared" si="0"/>
        <v>3.425942643334134</v>
      </c>
      <c r="S9" s="9">
        <f t="shared" si="0"/>
        <v>3.7000180548008648</v>
      </c>
      <c r="T9" s="9">
        <f t="shared" si="0"/>
        <v>3.9960194991849343</v>
      </c>
      <c r="U9" s="9">
        <f t="shared" si="0"/>
        <v>4.3157010591197293</v>
      </c>
      <c r="V9" s="9">
        <f t="shared" si="0"/>
        <v>4.6609571438493083</v>
      </c>
      <c r="W9" s="9">
        <f t="shared" si="0"/>
        <v>5.033833715357253</v>
      </c>
      <c r="X9" s="9">
        <f t="shared" si="0"/>
        <v>5.4365404125858339</v>
      </c>
      <c r="Y9" s="9">
        <f t="shared" si="0"/>
        <v>5.8714636455927014</v>
      </c>
      <c r="Z9" s="9">
        <f t="shared" si="0"/>
        <v>6.3411807372401183</v>
      </c>
      <c r="AA9" s="9">
        <f t="shared" si="0"/>
        <v>6.8484751962193284</v>
      </c>
      <c r="AB9" s="9">
        <f t="shared" si="0"/>
        <v>7.3963532119168756</v>
      </c>
      <c r="AC9" s="9">
        <f t="shared" si="0"/>
        <v>7.9880614688702263</v>
      </c>
    </row>
    <row r="10" spans="1:29" x14ac:dyDescent="0.15">
      <c r="A10" s="2" t="s">
        <v>25</v>
      </c>
      <c r="B10" s="1">
        <v>1</v>
      </c>
      <c r="C10" s="9">
        <f t="shared" si="1"/>
        <v>1.08</v>
      </c>
      <c r="D10" s="9">
        <f t="shared" si="0"/>
        <v>1.1664000000000001</v>
      </c>
      <c r="E10" s="9">
        <f t="shared" si="0"/>
        <v>1.2597120000000002</v>
      </c>
      <c r="F10" s="9">
        <f t="shared" si="0"/>
        <v>1.3604889600000003</v>
      </c>
      <c r="G10" s="9">
        <f t="shared" si="0"/>
        <v>1.4693280768000003</v>
      </c>
      <c r="H10" s="9">
        <f t="shared" si="0"/>
        <v>1.5868743229440005</v>
      </c>
      <c r="I10" s="9">
        <f t="shared" si="0"/>
        <v>1.7138242687795207</v>
      </c>
      <c r="J10" s="9">
        <f t="shared" si="0"/>
        <v>1.8509302102818825</v>
      </c>
      <c r="K10" s="9">
        <f t="shared" si="0"/>
        <v>1.9990046271044333</v>
      </c>
      <c r="L10" s="9">
        <f t="shared" si="0"/>
        <v>2.1589249972727882</v>
      </c>
      <c r="M10" s="9">
        <f t="shared" si="0"/>
        <v>2.3316389970546112</v>
      </c>
      <c r="N10" s="9">
        <f t="shared" si="0"/>
        <v>2.5181701168189803</v>
      </c>
      <c r="O10" s="9">
        <f t="shared" si="0"/>
        <v>2.7196237261644991</v>
      </c>
      <c r="P10" s="9">
        <f t="shared" si="0"/>
        <v>2.9371936242576591</v>
      </c>
      <c r="Q10" s="9">
        <f t="shared" si="0"/>
        <v>3.172169114198272</v>
      </c>
      <c r="R10" s="9">
        <f t="shared" si="0"/>
        <v>3.425942643334134</v>
      </c>
      <c r="S10" s="9">
        <f t="shared" si="0"/>
        <v>3.7000180548008648</v>
      </c>
      <c r="T10" s="9">
        <f t="shared" si="0"/>
        <v>3.9960194991849343</v>
      </c>
      <c r="U10" s="9">
        <f t="shared" si="0"/>
        <v>4.3157010591197293</v>
      </c>
      <c r="V10" s="9">
        <f t="shared" si="0"/>
        <v>4.6609571438493083</v>
      </c>
      <c r="W10" s="9">
        <f t="shared" si="0"/>
        <v>5.033833715357253</v>
      </c>
      <c r="X10" s="9">
        <f t="shared" si="0"/>
        <v>5.4365404125858339</v>
      </c>
      <c r="Y10" s="9">
        <f t="shared" si="0"/>
        <v>5.8714636455927014</v>
      </c>
      <c r="Z10" s="9">
        <f t="shared" si="0"/>
        <v>6.3411807372401183</v>
      </c>
      <c r="AA10" s="9">
        <f t="shared" si="0"/>
        <v>6.8484751962193284</v>
      </c>
      <c r="AB10" s="9">
        <f t="shared" si="0"/>
        <v>7.3963532119168756</v>
      </c>
      <c r="AC10" s="9">
        <f t="shared" si="0"/>
        <v>7.9880614688702263</v>
      </c>
    </row>
    <row r="11" spans="1:29" x14ac:dyDescent="0.15">
      <c r="A11" s="2" t="s">
        <v>17</v>
      </c>
      <c r="B11" s="1">
        <v>1</v>
      </c>
      <c r="C11" s="9">
        <f t="shared" si="1"/>
        <v>1.08</v>
      </c>
      <c r="D11" s="9">
        <f t="shared" si="0"/>
        <v>1.1664000000000001</v>
      </c>
      <c r="E11" s="9">
        <f t="shared" si="0"/>
        <v>1.2597120000000002</v>
      </c>
      <c r="F11" s="9">
        <f t="shared" si="0"/>
        <v>1.3604889600000003</v>
      </c>
      <c r="G11" s="9">
        <f t="shared" si="0"/>
        <v>1.4693280768000003</v>
      </c>
      <c r="H11" s="9">
        <f t="shared" si="0"/>
        <v>1.5868743229440005</v>
      </c>
      <c r="I11" s="9">
        <f t="shared" si="0"/>
        <v>1.7138242687795207</v>
      </c>
      <c r="J11" s="9">
        <f t="shared" si="0"/>
        <v>1.8509302102818825</v>
      </c>
      <c r="K11" s="9">
        <f t="shared" si="0"/>
        <v>1.9990046271044333</v>
      </c>
      <c r="L11" s="9">
        <f t="shared" si="0"/>
        <v>2.1589249972727882</v>
      </c>
      <c r="M11" s="9">
        <f t="shared" si="0"/>
        <v>2.3316389970546112</v>
      </c>
      <c r="N11" s="9">
        <f t="shared" si="0"/>
        <v>2.5181701168189803</v>
      </c>
      <c r="O11" s="9">
        <f t="shared" si="0"/>
        <v>2.7196237261644991</v>
      </c>
      <c r="P11" s="9">
        <f t="shared" si="0"/>
        <v>2.9371936242576591</v>
      </c>
      <c r="Q11" s="9">
        <f t="shared" si="0"/>
        <v>3.172169114198272</v>
      </c>
      <c r="R11" s="9">
        <f t="shared" si="0"/>
        <v>3.425942643334134</v>
      </c>
      <c r="S11" s="9">
        <f t="shared" si="0"/>
        <v>3.7000180548008648</v>
      </c>
      <c r="T11" s="9">
        <f t="shared" si="0"/>
        <v>3.9960194991849343</v>
      </c>
      <c r="U11" s="9">
        <f t="shared" si="0"/>
        <v>4.3157010591197293</v>
      </c>
      <c r="V11" s="9">
        <f t="shared" si="0"/>
        <v>4.6609571438493083</v>
      </c>
      <c r="W11" s="9">
        <f t="shared" si="0"/>
        <v>5.033833715357253</v>
      </c>
      <c r="X11" s="9">
        <f t="shared" si="0"/>
        <v>5.4365404125858339</v>
      </c>
      <c r="Y11" s="9">
        <f t="shared" si="0"/>
        <v>5.8714636455927014</v>
      </c>
      <c r="Z11" s="9">
        <f t="shared" si="0"/>
        <v>6.3411807372401183</v>
      </c>
      <c r="AA11" s="9">
        <f t="shared" si="0"/>
        <v>6.8484751962193284</v>
      </c>
      <c r="AB11" s="9">
        <f t="shared" si="0"/>
        <v>7.3963532119168756</v>
      </c>
      <c r="AC11" s="9">
        <f t="shared" si="0"/>
        <v>7.9880614688702263</v>
      </c>
    </row>
    <row r="12" spans="1:29" x14ac:dyDescent="0.15">
      <c r="A12" s="2" t="s">
        <v>31</v>
      </c>
      <c r="B12" s="1">
        <v>1</v>
      </c>
      <c r="C12" s="9">
        <f t="shared" si="1"/>
        <v>1.08</v>
      </c>
      <c r="D12" s="9">
        <f t="shared" si="0"/>
        <v>1.1664000000000001</v>
      </c>
      <c r="E12" s="9">
        <f t="shared" si="0"/>
        <v>1.2597120000000002</v>
      </c>
      <c r="F12" s="9">
        <f t="shared" si="0"/>
        <v>1.3604889600000003</v>
      </c>
      <c r="G12" s="9">
        <f t="shared" si="0"/>
        <v>1.4693280768000003</v>
      </c>
      <c r="H12" s="9">
        <f t="shared" si="0"/>
        <v>1.5868743229440005</v>
      </c>
      <c r="I12" s="9">
        <f t="shared" si="0"/>
        <v>1.7138242687795207</v>
      </c>
      <c r="J12" s="9">
        <f t="shared" si="0"/>
        <v>1.8509302102818825</v>
      </c>
      <c r="K12" s="9">
        <f t="shared" si="0"/>
        <v>1.9990046271044333</v>
      </c>
      <c r="L12" s="9">
        <f t="shared" si="0"/>
        <v>2.1589249972727882</v>
      </c>
      <c r="M12" s="9">
        <f t="shared" si="0"/>
        <v>2.3316389970546112</v>
      </c>
      <c r="N12" s="9">
        <f t="shared" ref="D12:AC22" si="2">M12*1.08</f>
        <v>2.5181701168189803</v>
      </c>
      <c r="O12" s="9">
        <f t="shared" si="2"/>
        <v>2.7196237261644991</v>
      </c>
      <c r="P12" s="9">
        <f t="shared" si="2"/>
        <v>2.9371936242576591</v>
      </c>
      <c r="Q12" s="9">
        <f t="shared" si="2"/>
        <v>3.172169114198272</v>
      </c>
      <c r="R12" s="9">
        <f t="shared" si="2"/>
        <v>3.425942643334134</v>
      </c>
      <c r="S12" s="9">
        <f t="shared" si="2"/>
        <v>3.7000180548008648</v>
      </c>
      <c r="T12" s="9">
        <f t="shared" si="2"/>
        <v>3.9960194991849343</v>
      </c>
      <c r="U12" s="9">
        <f t="shared" si="2"/>
        <v>4.3157010591197293</v>
      </c>
      <c r="V12" s="9">
        <f t="shared" si="2"/>
        <v>4.6609571438493083</v>
      </c>
      <c r="W12" s="9">
        <f t="shared" si="2"/>
        <v>5.033833715357253</v>
      </c>
      <c r="X12" s="9">
        <f t="shared" si="2"/>
        <v>5.4365404125858339</v>
      </c>
      <c r="Y12" s="9">
        <f t="shared" si="2"/>
        <v>5.8714636455927014</v>
      </c>
      <c r="Z12" s="9">
        <f t="shared" si="2"/>
        <v>6.3411807372401183</v>
      </c>
      <c r="AA12" s="9">
        <f t="shared" si="2"/>
        <v>6.8484751962193284</v>
      </c>
      <c r="AB12" s="9">
        <f t="shared" si="2"/>
        <v>7.3963532119168756</v>
      </c>
      <c r="AC12" s="9">
        <f t="shared" si="2"/>
        <v>7.9880614688702263</v>
      </c>
    </row>
    <row r="13" spans="1:29" x14ac:dyDescent="0.15">
      <c r="A13" s="2" t="s">
        <v>0</v>
      </c>
      <c r="B13" s="1">
        <v>1</v>
      </c>
      <c r="C13" s="9">
        <f t="shared" si="1"/>
        <v>1.08</v>
      </c>
      <c r="D13" s="9">
        <f t="shared" si="2"/>
        <v>1.1664000000000001</v>
      </c>
      <c r="E13" s="9">
        <f t="shared" si="2"/>
        <v>1.2597120000000002</v>
      </c>
      <c r="F13" s="9">
        <f t="shared" si="2"/>
        <v>1.3604889600000003</v>
      </c>
      <c r="G13" s="9">
        <f t="shared" si="2"/>
        <v>1.4693280768000003</v>
      </c>
      <c r="H13" s="9">
        <f t="shared" si="2"/>
        <v>1.5868743229440005</v>
      </c>
      <c r="I13" s="9">
        <f t="shared" si="2"/>
        <v>1.7138242687795207</v>
      </c>
      <c r="J13" s="9">
        <f t="shared" si="2"/>
        <v>1.8509302102818825</v>
      </c>
      <c r="K13" s="9">
        <f t="shared" si="2"/>
        <v>1.9990046271044333</v>
      </c>
      <c r="L13" s="9">
        <f t="shared" si="2"/>
        <v>2.1589249972727882</v>
      </c>
      <c r="M13" s="9">
        <f t="shared" si="2"/>
        <v>2.3316389970546112</v>
      </c>
      <c r="N13" s="9">
        <f t="shared" si="2"/>
        <v>2.5181701168189803</v>
      </c>
      <c r="O13" s="9">
        <f t="shared" si="2"/>
        <v>2.7196237261644991</v>
      </c>
      <c r="P13" s="9">
        <f t="shared" si="2"/>
        <v>2.9371936242576591</v>
      </c>
      <c r="Q13" s="9">
        <f t="shared" si="2"/>
        <v>3.172169114198272</v>
      </c>
      <c r="R13" s="9">
        <f t="shared" si="2"/>
        <v>3.425942643334134</v>
      </c>
      <c r="S13" s="9">
        <f t="shared" si="2"/>
        <v>3.7000180548008648</v>
      </c>
      <c r="T13" s="9">
        <f t="shared" si="2"/>
        <v>3.9960194991849343</v>
      </c>
      <c r="U13" s="9">
        <f t="shared" si="2"/>
        <v>4.3157010591197293</v>
      </c>
      <c r="V13" s="9">
        <f t="shared" si="2"/>
        <v>4.6609571438493083</v>
      </c>
      <c r="W13" s="9">
        <f t="shared" si="2"/>
        <v>5.033833715357253</v>
      </c>
      <c r="X13" s="9">
        <f t="shared" si="2"/>
        <v>5.4365404125858339</v>
      </c>
      <c r="Y13" s="9">
        <f t="shared" si="2"/>
        <v>5.8714636455927014</v>
      </c>
      <c r="Z13" s="9">
        <f t="shared" si="2"/>
        <v>6.3411807372401183</v>
      </c>
      <c r="AA13" s="9">
        <f t="shared" si="2"/>
        <v>6.8484751962193284</v>
      </c>
      <c r="AB13" s="9">
        <f t="shared" si="2"/>
        <v>7.3963532119168756</v>
      </c>
      <c r="AC13" s="9">
        <f t="shared" si="2"/>
        <v>7.9880614688702263</v>
      </c>
    </row>
    <row r="14" spans="1:29" x14ac:dyDescent="0.15">
      <c r="A14" s="2" t="s">
        <v>6</v>
      </c>
      <c r="B14" s="1">
        <v>1</v>
      </c>
      <c r="C14" s="9">
        <f t="shared" si="1"/>
        <v>1.08</v>
      </c>
      <c r="D14" s="9">
        <f t="shared" si="2"/>
        <v>1.1664000000000001</v>
      </c>
      <c r="E14" s="9">
        <f t="shared" si="2"/>
        <v>1.2597120000000002</v>
      </c>
      <c r="F14" s="9">
        <f t="shared" si="2"/>
        <v>1.3604889600000003</v>
      </c>
      <c r="G14" s="9">
        <f t="shared" si="2"/>
        <v>1.4693280768000003</v>
      </c>
      <c r="H14" s="9">
        <f t="shared" si="2"/>
        <v>1.5868743229440005</v>
      </c>
      <c r="I14" s="9">
        <f t="shared" si="2"/>
        <v>1.7138242687795207</v>
      </c>
      <c r="J14" s="9">
        <f t="shared" si="2"/>
        <v>1.8509302102818825</v>
      </c>
      <c r="K14" s="9">
        <f t="shared" si="2"/>
        <v>1.9990046271044333</v>
      </c>
      <c r="L14" s="9">
        <f t="shared" si="2"/>
        <v>2.1589249972727882</v>
      </c>
      <c r="M14" s="9">
        <f t="shared" si="2"/>
        <v>2.3316389970546112</v>
      </c>
      <c r="N14" s="9">
        <f t="shared" si="2"/>
        <v>2.5181701168189803</v>
      </c>
      <c r="O14" s="9">
        <f t="shared" si="2"/>
        <v>2.7196237261644991</v>
      </c>
      <c r="P14" s="9">
        <f t="shared" si="2"/>
        <v>2.9371936242576591</v>
      </c>
      <c r="Q14" s="9">
        <f t="shared" si="2"/>
        <v>3.172169114198272</v>
      </c>
      <c r="R14" s="9">
        <f t="shared" si="2"/>
        <v>3.425942643334134</v>
      </c>
      <c r="S14" s="9">
        <f t="shared" si="2"/>
        <v>3.7000180548008648</v>
      </c>
      <c r="T14" s="9">
        <f t="shared" si="2"/>
        <v>3.9960194991849343</v>
      </c>
      <c r="U14" s="9">
        <f t="shared" si="2"/>
        <v>4.3157010591197293</v>
      </c>
      <c r="V14" s="9">
        <f t="shared" si="2"/>
        <v>4.6609571438493083</v>
      </c>
      <c r="W14" s="9">
        <f t="shared" si="2"/>
        <v>5.033833715357253</v>
      </c>
      <c r="X14" s="9">
        <f t="shared" si="2"/>
        <v>5.4365404125858339</v>
      </c>
      <c r="Y14" s="9">
        <f t="shared" si="2"/>
        <v>5.8714636455927014</v>
      </c>
      <c r="Z14" s="9">
        <f t="shared" si="2"/>
        <v>6.3411807372401183</v>
      </c>
      <c r="AA14" s="9">
        <f t="shared" si="2"/>
        <v>6.8484751962193284</v>
      </c>
      <c r="AB14" s="9">
        <f t="shared" si="2"/>
        <v>7.3963532119168756</v>
      </c>
      <c r="AC14" s="9">
        <f t="shared" si="2"/>
        <v>7.9880614688702263</v>
      </c>
    </row>
    <row r="15" spans="1:29" x14ac:dyDescent="0.15">
      <c r="A15" s="2" t="s">
        <v>18</v>
      </c>
      <c r="B15" s="1">
        <v>1</v>
      </c>
      <c r="C15" s="9">
        <f t="shared" si="1"/>
        <v>1.08</v>
      </c>
      <c r="D15" s="9">
        <f t="shared" si="2"/>
        <v>1.1664000000000001</v>
      </c>
      <c r="E15" s="9">
        <f t="shared" si="2"/>
        <v>1.2597120000000002</v>
      </c>
      <c r="F15" s="9">
        <f t="shared" si="2"/>
        <v>1.3604889600000003</v>
      </c>
      <c r="G15" s="9">
        <f t="shared" si="2"/>
        <v>1.4693280768000003</v>
      </c>
      <c r="H15" s="9">
        <f t="shared" si="2"/>
        <v>1.5868743229440005</v>
      </c>
      <c r="I15" s="9">
        <f t="shared" si="2"/>
        <v>1.7138242687795207</v>
      </c>
      <c r="J15" s="9">
        <f t="shared" si="2"/>
        <v>1.8509302102818825</v>
      </c>
      <c r="K15" s="9">
        <f t="shared" si="2"/>
        <v>1.9990046271044333</v>
      </c>
      <c r="L15" s="9">
        <f t="shared" si="2"/>
        <v>2.1589249972727882</v>
      </c>
      <c r="M15" s="9">
        <f t="shared" si="2"/>
        <v>2.3316389970546112</v>
      </c>
      <c r="N15" s="9">
        <f t="shared" si="2"/>
        <v>2.5181701168189803</v>
      </c>
      <c r="O15" s="9">
        <f t="shared" si="2"/>
        <v>2.7196237261644991</v>
      </c>
      <c r="P15" s="9">
        <f t="shared" si="2"/>
        <v>2.9371936242576591</v>
      </c>
      <c r="Q15" s="9">
        <f t="shared" si="2"/>
        <v>3.172169114198272</v>
      </c>
      <c r="R15" s="9">
        <f t="shared" si="2"/>
        <v>3.425942643334134</v>
      </c>
      <c r="S15" s="9">
        <f t="shared" si="2"/>
        <v>3.7000180548008648</v>
      </c>
      <c r="T15" s="9">
        <f t="shared" si="2"/>
        <v>3.9960194991849343</v>
      </c>
      <c r="U15" s="9">
        <f t="shared" si="2"/>
        <v>4.3157010591197293</v>
      </c>
      <c r="V15" s="9">
        <f t="shared" si="2"/>
        <v>4.6609571438493083</v>
      </c>
      <c r="W15" s="9">
        <f t="shared" si="2"/>
        <v>5.033833715357253</v>
      </c>
      <c r="X15" s="9">
        <f t="shared" si="2"/>
        <v>5.4365404125858339</v>
      </c>
      <c r="Y15" s="9">
        <f t="shared" si="2"/>
        <v>5.8714636455927014</v>
      </c>
      <c r="Z15" s="9">
        <f t="shared" si="2"/>
        <v>6.3411807372401183</v>
      </c>
      <c r="AA15" s="9">
        <f t="shared" si="2"/>
        <v>6.8484751962193284</v>
      </c>
      <c r="AB15" s="9">
        <f t="shared" si="2"/>
        <v>7.3963532119168756</v>
      </c>
      <c r="AC15" s="9">
        <f t="shared" si="2"/>
        <v>7.9880614688702263</v>
      </c>
    </row>
    <row r="16" spans="1:29" x14ac:dyDescent="0.15">
      <c r="A16" s="2" t="s">
        <v>24</v>
      </c>
      <c r="B16" s="1">
        <v>1</v>
      </c>
      <c r="C16" s="9">
        <f t="shared" si="1"/>
        <v>1.08</v>
      </c>
      <c r="D16" s="9">
        <f t="shared" si="2"/>
        <v>1.1664000000000001</v>
      </c>
      <c r="E16" s="9">
        <f t="shared" si="2"/>
        <v>1.2597120000000002</v>
      </c>
      <c r="F16" s="9">
        <f t="shared" si="2"/>
        <v>1.3604889600000003</v>
      </c>
      <c r="G16" s="9">
        <f t="shared" si="2"/>
        <v>1.4693280768000003</v>
      </c>
      <c r="H16" s="9">
        <f t="shared" si="2"/>
        <v>1.5868743229440005</v>
      </c>
      <c r="I16" s="9">
        <f t="shared" si="2"/>
        <v>1.7138242687795207</v>
      </c>
      <c r="J16" s="9">
        <f t="shared" si="2"/>
        <v>1.8509302102818825</v>
      </c>
      <c r="K16" s="9">
        <f t="shared" si="2"/>
        <v>1.9990046271044333</v>
      </c>
      <c r="L16" s="9">
        <f t="shared" si="2"/>
        <v>2.1589249972727882</v>
      </c>
      <c r="M16" s="9">
        <f t="shared" si="2"/>
        <v>2.3316389970546112</v>
      </c>
      <c r="N16" s="9">
        <f t="shared" si="2"/>
        <v>2.5181701168189803</v>
      </c>
      <c r="O16" s="9">
        <f t="shared" si="2"/>
        <v>2.7196237261644991</v>
      </c>
      <c r="P16" s="9">
        <f t="shared" si="2"/>
        <v>2.9371936242576591</v>
      </c>
      <c r="Q16" s="9">
        <f t="shared" si="2"/>
        <v>3.172169114198272</v>
      </c>
      <c r="R16" s="9">
        <f t="shared" si="2"/>
        <v>3.425942643334134</v>
      </c>
      <c r="S16" s="9">
        <f t="shared" si="2"/>
        <v>3.7000180548008648</v>
      </c>
      <c r="T16" s="9">
        <f t="shared" si="2"/>
        <v>3.9960194991849343</v>
      </c>
      <c r="U16" s="9">
        <f t="shared" si="2"/>
        <v>4.3157010591197293</v>
      </c>
      <c r="V16" s="9">
        <f t="shared" si="2"/>
        <v>4.6609571438493083</v>
      </c>
      <c r="W16" s="9">
        <f t="shared" si="2"/>
        <v>5.033833715357253</v>
      </c>
      <c r="X16" s="9">
        <f t="shared" si="2"/>
        <v>5.4365404125858339</v>
      </c>
      <c r="Y16" s="9">
        <f t="shared" si="2"/>
        <v>5.8714636455927014</v>
      </c>
      <c r="Z16" s="9">
        <f t="shared" si="2"/>
        <v>6.3411807372401183</v>
      </c>
      <c r="AA16" s="9">
        <f t="shared" si="2"/>
        <v>6.8484751962193284</v>
      </c>
      <c r="AB16" s="9">
        <f t="shared" si="2"/>
        <v>7.3963532119168756</v>
      </c>
      <c r="AC16" s="9">
        <f t="shared" si="2"/>
        <v>7.9880614688702263</v>
      </c>
    </row>
    <row r="17" spans="1:29" x14ac:dyDescent="0.15">
      <c r="A17" s="2" t="s">
        <v>14</v>
      </c>
      <c r="B17" s="1">
        <v>1</v>
      </c>
      <c r="C17" s="9">
        <f t="shared" si="1"/>
        <v>1.08</v>
      </c>
      <c r="D17" s="9">
        <f t="shared" si="2"/>
        <v>1.1664000000000001</v>
      </c>
      <c r="E17" s="9">
        <f t="shared" si="2"/>
        <v>1.2597120000000002</v>
      </c>
      <c r="F17" s="9">
        <f t="shared" si="2"/>
        <v>1.3604889600000003</v>
      </c>
      <c r="G17" s="9">
        <f t="shared" si="2"/>
        <v>1.4693280768000003</v>
      </c>
      <c r="H17" s="9">
        <f t="shared" si="2"/>
        <v>1.5868743229440005</v>
      </c>
      <c r="I17" s="9">
        <f t="shared" si="2"/>
        <v>1.7138242687795207</v>
      </c>
      <c r="J17" s="9">
        <f t="shared" si="2"/>
        <v>1.8509302102818825</v>
      </c>
      <c r="K17" s="9">
        <f t="shared" si="2"/>
        <v>1.9990046271044333</v>
      </c>
      <c r="L17" s="9">
        <f t="shared" si="2"/>
        <v>2.1589249972727882</v>
      </c>
      <c r="M17" s="9">
        <f t="shared" si="2"/>
        <v>2.3316389970546112</v>
      </c>
      <c r="N17" s="9">
        <f t="shared" si="2"/>
        <v>2.5181701168189803</v>
      </c>
      <c r="O17" s="9">
        <f t="shared" si="2"/>
        <v>2.7196237261644991</v>
      </c>
      <c r="P17" s="9">
        <f t="shared" si="2"/>
        <v>2.9371936242576591</v>
      </c>
      <c r="Q17" s="9">
        <f t="shared" si="2"/>
        <v>3.172169114198272</v>
      </c>
      <c r="R17" s="9">
        <f t="shared" si="2"/>
        <v>3.425942643334134</v>
      </c>
      <c r="S17" s="9">
        <f t="shared" si="2"/>
        <v>3.7000180548008648</v>
      </c>
      <c r="T17" s="9">
        <f t="shared" si="2"/>
        <v>3.9960194991849343</v>
      </c>
      <c r="U17" s="9">
        <f t="shared" si="2"/>
        <v>4.3157010591197293</v>
      </c>
      <c r="V17" s="9">
        <f t="shared" si="2"/>
        <v>4.6609571438493083</v>
      </c>
      <c r="W17" s="9">
        <f t="shared" si="2"/>
        <v>5.033833715357253</v>
      </c>
      <c r="X17" s="9">
        <f t="shared" si="2"/>
        <v>5.4365404125858339</v>
      </c>
      <c r="Y17" s="9">
        <f t="shared" si="2"/>
        <v>5.8714636455927014</v>
      </c>
      <c r="Z17" s="9">
        <f t="shared" si="2"/>
        <v>6.3411807372401183</v>
      </c>
      <c r="AA17" s="9">
        <f t="shared" si="2"/>
        <v>6.8484751962193284</v>
      </c>
      <c r="AB17" s="9">
        <f t="shared" si="2"/>
        <v>7.3963532119168756</v>
      </c>
      <c r="AC17" s="9">
        <f t="shared" si="2"/>
        <v>7.9880614688702263</v>
      </c>
    </row>
    <row r="18" spans="1:29" x14ac:dyDescent="0.15">
      <c r="A18" s="2" t="s">
        <v>15</v>
      </c>
      <c r="B18" s="1">
        <v>1</v>
      </c>
      <c r="C18" s="9">
        <f t="shared" si="1"/>
        <v>1.08</v>
      </c>
      <c r="D18" s="9">
        <f t="shared" si="2"/>
        <v>1.1664000000000001</v>
      </c>
      <c r="E18" s="9">
        <f t="shared" si="2"/>
        <v>1.2597120000000002</v>
      </c>
      <c r="F18" s="9">
        <f t="shared" si="2"/>
        <v>1.3604889600000003</v>
      </c>
      <c r="G18" s="9">
        <f t="shared" si="2"/>
        <v>1.4693280768000003</v>
      </c>
      <c r="H18" s="9">
        <f t="shared" si="2"/>
        <v>1.5868743229440005</v>
      </c>
      <c r="I18" s="9">
        <f t="shared" si="2"/>
        <v>1.7138242687795207</v>
      </c>
      <c r="J18" s="9">
        <f t="shared" si="2"/>
        <v>1.8509302102818825</v>
      </c>
      <c r="K18" s="9">
        <f t="shared" si="2"/>
        <v>1.9990046271044333</v>
      </c>
      <c r="L18" s="9">
        <f t="shared" si="2"/>
        <v>2.1589249972727882</v>
      </c>
      <c r="M18" s="9">
        <f t="shared" si="2"/>
        <v>2.3316389970546112</v>
      </c>
      <c r="N18" s="9">
        <f t="shared" si="2"/>
        <v>2.5181701168189803</v>
      </c>
      <c r="O18" s="9">
        <f t="shared" si="2"/>
        <v>2.7196237261644991</v>
      </c>
      <c r="P18" s="9">
        <f t="shared" si="2"/>
        <v>2.9371936242576591</v>
      </c>
      <c r="Q18" s="9">
        <f t="shared" si="2"/>
        <v>3.172169114198272</v>
      </c>
      <c r="R18" s="9">
        <f t="shared" si="2"/>
        <v>3.425942643334134</v>
      </c>
      <c r="S18" s="9">
        <f t="shared" si="2"/>
        <v>3.7000180548008648</v>
      </c>
      <c r="T18" s="9">
        <f t="shared" si="2"/>
        <v>3.9960194991849343</v>
      </c>
      <c r="U18" s="9">
        <f t="shared" si="2"/>
        <v>4.3157010591197293</v>
      </c>
      <c r="V18" s="9">
        <f t="shared" si="2"/>
        <v>4.6609571438493083</v>
      </c>
      <c r="W18" s="9">
        <f t="shared" si="2"/>
        <v>5.033833715357253</v>
      </c>
      <c r="X18" s="9">
        <f t="shared" si="2"/>
        <v>5.4365404125858339</v>
      </c>
      <c r="Y18" s="9">
        <f t="shared" si="2"/>
        <v>5.8714636455927014</v>
      </c>
      <c r="Z18" s="9">
        <f t="shared" si="2"/>
        <v>6.3411807372401183</v>
      </c>
      <c r="AA18" s="9">
        <f t="shared" si="2"/>
        <v>6.8484751962193284</v>
      </c>
      <c r="AB18" s="9">
        <f t="shared" si="2"/>
        <v>7.3963532119168756</v>
      </c>
      <c r="AC18" s="9">
        <f t="shared" si="2"/>
        <v>7.9880614688702263</v>
      </c>
    </row>
    <row r="19" spans="1:29" x14ac:dyDescent="0.15">
      <c r="A19" s="2" t="s">
        <v>16</v>
      </c>
      <c r="B19" s="1">
        <v>1</v>
      </c>
      <c r="C19" s="9">
        <f t="shared" si="1"/>
        <v>1.08</v>
      </c>
      <c r="D19" s="9">
        <f t="shared" si="2"/>
        <v>1.1664000000000001</v>
      </c>
      <c r="E19" s="9">
        <f t="shared" si="2"/>
        <v>1.2597120000000002</v>
      </c>
      <c r="F19" s="9">
        <f t="shared" si="2"/>
        <v>1.3604889600000003</v>
      </c>
      <c r="G19" s="9">
        <f t="shared" si="2"/>
        <v>1.4693280768000003</v>
      </c>
      <c r="H19" s="9">
        <f t="shared" si="2"/>
        <v>1.5868743229440005</v>
      </c>
      <c r="I19" s="9">
        <f t="shared" si="2"/>
        <v>1.7138242687795207</v>
      </c>
      <c r="J19" s="9">
        <f t="shared" si="2"/>
        <v>1.8509302102818825</v>
      </c>
      <c r="K19" s="9">
        <f t="shared" si="2"/>
        <v>1.9990046271044333</v>
      </c>
      <c r="L19" s="9">
        <f t="shared" si="2"/>
        <v>2.1589249972727882</v>
      </c>
      <c r="M19" s="9">
        <f t="shared" si="2"/>
        <v>2.3316389970546112</v>
      </c>
      <c r="N19" s="9">
        <f t="shared" si="2"/>
        <v>2.5181701168189803</v>
      </c>
      <c r="O19" s="9">
        <f t="shared" si="2"/>
        <v>2.7196237261644991</v>
      </c>
      <c r="P19" s="9">
        <f t="shared" si="2"/>
        <v>2.9371936242576591</v>
      </c>
      <c r="Q19" s="9">
        <f t="shared" si="2"/>
        <v>3.172169114198272</v>
      </c>
      <c r="R19" s="9">
        <f t="shared" si="2"/>
        <v>3.425942643334134</v>
      </c>
      <c r="S19" s="9">
        <f t="shared" si="2"/>
        <v>3.7000180548008648</v>
      </c>
      <c r="T19" s="9">
        <f t="shared" si="2"/>
        <v>3.9960194991849343</v>
      </c>
      <c r="U19" s="9">
        <f t="shared" si="2"/>
        <v>4.3157010591197293</v>
      </c>
      <c r="V19" s="9">
        <f t="shared" si="2"/>
        <v>4.6609571438493083</v>
      </c>
      <c r="W19" s="9">
        <f t="shared" si="2"/>
        <v>5.033833715357253</v>
      </c>
      <c r="X19" s="9">
        <f t="shared" si="2"/>
        <v>5.4365404125858339</v>
      </c>
      <c r="Y19" s="9">
        <f t="shared" si="2"/>
        <v>5.8714636455927014</v>
      </c>
      <c r="Z19" s="9">
        <f t="shared" si="2"/>
        <v>6.3411807372401183</v>
      </c>
      <c r="AA19" s="9">
        <f t="shared" si="2"/>
        <v>6.8484751962193284</v>
      </c>
      <c r="AB19" s="9">
        <f t="shared" si="2"/>
        <v>7.3963532119168756</v>
      </c>
      <c r="AC19" s="9">
        <f t="shared" si="2"/>
        <v>7.9880614688702263</v>
      </c>
    </row>
    <row r="20" spans="1:29" ht="15" x14ac:dyDescent="0.25">
      <c r="A20" s="6" t="s">
        <v>8</v>
      </c>
      <c r="B20" s="1">
        <v>1</v>
      </c>
      <c r="C20" s="9">
        <f t="shared" si="1"/>
        <v>1.08</v>
      </c>
      <c r="D20" s="9">
        <f t="shared" si="2"/>
        <v>1.1664000000000001</v>
      </c>
      <c r="E20" s="9">
        <f t="shared" si="2"/>
        <v>1.2597120000000002</v>
      </c>
      <c r="F20" s="9">
        <f t="shared" si="2"/>
        <v>1.3604889600000003</v>
      </c>
      <c r="G20" s="9">
        <f t="shared" si="2"/>
        <v>1.4693280768000003</v>
      </c>
      <c r="H20" s="9">
        <f t="shared" si="2"/>
        <v>1.5868743229440005</v>
      </c>
      <c r="I20" s="9">
        <f t="shared" si="2"/>
        <v>1.7138242687795207</v>
      </c>
      <c r="J20" s="9">
        <f t="shared" si="2"/>
        <v>1.8509302102818825</v>
      </c>
      <c r="K20" s="9">
        <f t="shared" si="2"/>
        <v>1.9990046271044333</v>
      </c>
      <c r="L20" s="9">
        <f t="shared" si="2"/>
        <v>2.1589249972727882</v>
      </c>
      <c r="M20" s="9">
        <f t="shared" si="2"/>
        <v>2.3316389970546112</v>
      </c>
      <c r="N20" s="9">
        <f t="shared" si="2"/>
        <v>2.5181701168189803</v>
      </c>
      <c r="O20" s="9">
        <f t="shared" si="2"/>
        <v>2.7196237261644991</v>
      </c>
      <c r="P20" s="9">
        <f t="shared" si="2"/>
        <v>2.9371936242576591</v>
      </c>
      <c r="Q20" s="9">
        <f t="shared" si="2"/>
        <v>3.172169114198272</v>
      </c>
      <c r="R20" s="9">
        <f t="shared" si="2"/>
        <v>3.425942643334134</v>
      </c>
      <c r="S20" s="9">
        <f t="shared" si="2"/>
        <v>3.7000180548008648</v>
      </c>
      <c r="T20" s="9">
        <f t="shared" si="2"/>
        <v>3.9960194991849343</v>
      </c>
      <c r="U20" s="9">
        <f t="shared" si="2"/>
        <v>4.3157010591197293</v>
      </c>
      <c r="V20" s="9">
        <f t="shared" si="2"/>
        <v>4.6609571438493083</v>
      </c>
      <c r="W20" s="9">
        <f t="shared" si="2"/>
        <v>5.033833715357253</v>
      </c>
      <c r="X20" s="9">
        <f t="shared" si="2"/>
        <v>5.4365404125858339</v>
      </c>
      <c r="Y20" s="9">
        <f t="shared" si="2"/>
        <v>5.8714636455927014</v>
      </c>
      <c r="Z20" s="9">
        <f t="shared" si="2"/>
        <v>6.3411807372401183</v>
      </c>
      <c r="AA20" s="9">
        <f t="shared" si="2"/>
        <v>6.8484751962193284</v>
      </c>
      <c r="AB20" s="9">
        <f t="shared" si="2"/>
        <v>7.3963532119168756</v>
      </c>
      <c r="AC20" s="9">
        <f t="shared" si="2"/>
        <v>7.9880614688702263</v>
      </c>
    </row>
    <row r="21" spans="1:29" x14ac:dyDescent="0.15">
      <c r="A21" s="2" t="s">
        <v>9</v>
      </c>
      <c r="B21" s="1">
        <v>1</v>
      </c>
      <c r="C21" s="9">
        <f t="shared" si="1"/>
        <v>1.08</v>
      </c>
      <c r="D21" s="9">
        <f t="shared" si="2"/>
        <v>1.1664000000000001</v>
      </c>
      <c r="E21" s="9">
        <f t="shared" si="2"/>
        <v>1.2597120000000002</v>
      </c>
      <c r="F21" s="9">
        <f t="shared" si="2"/>
        <v>1.3604889600000003</v>
      </c>
      <c r="G21" s="9">
        <f t="shared" si="2"/>
        <v>1.4693280768000003</v>
      </c>
      <c r="H21" s="9">
        <f t="shared" si="2"/>
        <v>1.5868743229440005</v>
      </c>
      <c r="I21" s="9">
        <f t="shared" si="2"/>
        <v>1.7138242687795207</v>
      </c>
      <c r="J21" s="9">
        <f t="shared" si="2"/>
        <v>1.8509302102818825</v>
      </c>
      <c r="K21" s="9">
        <f t="shared" si="2"/>
        <v>1.9990046271044333</v>
      </c>
      <c r="L21" s="9">
        <f t="shared" si="2"/>
        <v>2.1589249972727882</v>
      </c>
      <c r="M21" s="9">
        <f t="shared" si="2"/>
        <v>2.3316389970546112</v>
      </c>
      <c r="N21" s="9">
        <f t="shared" si="2"/>
        <v>2.5181701168189803</v>
      </c>
      <c r="O21" s="9">
        <f t="shared" si="2"/>
        <v>2.7196237261644991</v>
      </c>
      <c r="P21" s="9">
        <f t="shared" si="2"/>
        <v>2.9371936242576591</v>
      </c>
      <c r="Q21" s="9">
        <f t="shared" si="2"/>
        <v>3.172169114198272</v>
      </c>
      <c r="R21" s="9">
        <f t="shared" si="2"/>
        <v>3.425942643334134</v>
      </c>
      <c r="S21" s="9">
        <f t="shared" si="2"/>
        <v>3.7000180548008648</v>
      </c>
      <c r="T21" s="9">
        <f t="shared" si="2"/>
        <v>3.9960194991849343</v>
      </c>
      <c r="U21" s="9">
        <f t="shared" si="2"/>
        <v>4.3157010591197293</v>
      </c>
      <c r="V21" s="9">
        <f t="shared" si="2"/>
        <v>4.6609571438493083</v>
      </c>
      <c r="W21" s="9">
        <f t="shared" si="2"/>
        <v>5.033833715357253</v>
      </c>
      <c r="X21" s="9">
        <f t="shared" si="2"/>
        <v>5.4365404125858339</v>
      </c>
      <c r="Y21" s="9">
        <f t="shared" si="2"/>
        <v>5.8714636455927014</v>
      </c>
      <c r="Z21" s="9">
        <f t="shared" si="2"/>
        <v>6.3411807372401183</v>
      </c>
      <c r="AA21" s="9">
        <f t="shared" si="2"/>
        <v>6.8484751962193284</v>
      </c>
      <c r="AB21" s="9">
        <f t="shared" si="2"/>
        <v>7.3963532119168756</v>
      </c>
      <c r="AC21" s="9">
        <f t="shared" si="2"/>
        <v>7.9880614688702263</v>
      </c>
    </row>
    <row r="22" spans="1:29" x14ac:dyDescent="0.15">
      <c r="A22" s="2" t="s">
        <v>11</v>
      </c>
      <c r="B22" s="1">
        <v>1</v>
      </c>
      <c r="C22" s="9">
        <f t="shared" si="1"/>
        <v>1.08</v>
      </c>
      <c r="D22" s="9">
        <f t="shared" si="2"/>
        <v>1.1664000000000001</v>
      </c>
      <c r="E22" s="9">
        <f t="shared" si="2"/>
        <v>1.2597120000000002</v>
      </c>
      <c r="F22" s="9">
        <f t="shared" si="2"/>
        <v>1.3604889600000003</v>
      </c>
      <c r="G22" s="9">
        <f t="shared" si="2"/>
        <v>1.4693280768000003</v>
      </c>
      <c r="H22" s="9">
        <f t="shared" si="2"/>
        <v>1.5868743229440005</v>
      </c>
      <c r="I22" s="9">
        <f t="shared" ref="D22:AC31" si="3">H22*1.08</f>
        <v>1.7138242687795207</v>
      </c>
      <c r="J22" s="9">
        <f t="shared" si="3"/>
        <v>1.8509302102818825</v>
      </c>
      <c r="K22" s="9">
        <f t="shared" si="3"/>
        <v>1.9990046271044333</v>
      </c>
      <c r="L22" s="9">
        <f t="shared" si="3"/>
        <v>2.1589249972727882</v>
      </c>
      <c r="M22" s="9">
        <f t="shared" si="3"/>
        <v>2.3316389970546112</v>
      </c>
      <c r="N22" s="9">
        <f t="shared" si="3"/>
        <v>2.5181701168189803</v>
      </c>
      <c r="O22" s="9">
        <f t="shared" si="3"/>
        <v>2.7196237261644991</v>
      </c>
      <c r="P22" s="9">
        <f t="shared" si="3"/>
        <v>2.9371936242576591</v>
      </c>
      <c r="Q22" s="9">
        <f t="shared" si="3"/>
        <v>3.172169114198272</v>
      </c>
      <c r="R22" s="9">
        <f t="shared" si="3"/>
        <v>3.425942643334134</v>
      </c>
      <c r="S22" s="9">
        <f t="shared" si="3"/>
        <v>3.7000180548008648</v>
      </c>
      <c r="T22" s="9">
        <f t="shared" si="3"/>
        <v>3.9960194991849343</v>
      </c>
      <c r="U22" s="9">
        <f t="shared" si="3"/>
        <v>4.3157010591197293</v>
      </c>
      <c r="V22" s="9">
        <f t="shared" si="3"/>
        <v>4.6609571438493083</v>
      </c>
      <c r="W22" s="9">
        <f t="shared" si="3"/>
        <v>5.033833715357253</v>
      </c>
      <c r="X22" s="9">
        <f t="shared" si="3"/>
        <v>5.4365404125858339</v>
      </c>
      <c r="Y22" s="9">
        <f t="shared" si="3"/>
        <v>5.8714636455927014</v>
      </c>
      <c r="Z22" s="9">
        <f t="shared" si="3"/>
        <v>6.3411807372401183</v>
      </c>
      <c r="AA22" s="9">
        <f t="shared" si="3"/>
        <v>6.8484751962193284</v>
      </c>
      <c r="AB22" s="9">
        <f t="shared" si="3"/>
        <v>7.3963532119168756</v>
      </c>
      <c r="AC22" s="9">
        <f t="shared" si="3"/>
        <v>7.9880614688702263</v>
      </c>
    </row>
    <row r="23" spans="1:29" x14ac:dyDescent="0.15">
      <c r="A23" s="2" t="s">
        <v>5</v>
      </c>
      <c r="B23" s="1">
        <v>1</v>
      </c>
      <c r="C23" s="9">
        <f t="shared" si="1"/>
        <v>1.08</v>
      </c>
      <c r="D23" s="9">
        <f t="shared" si="3"/>
        <v>1.1664000000000001</v>
      </c>
      <c r="E23" s="9">
        <f t="shared" si="3"/>
        <v>1.2597120000000002</v>
      </c>
      <c r="F23" s="9">
        <f t="shared" si="3"/>
        <v>1.3604889600000003</v>
      </c>
      <c r="G23" s="9">
        <f t="shared" si="3"/>
        <v>1.4693280768000003</v>
      </c>
      <c r="H23" s="9">
        <f t="shared" si="3"/>
        <v>1.5868743229440005</v>
      </c>
      <c r="I23" s="9">
        <f t="shared" si="3"/>
        <v>1.7138242687795207</v>
      </c>
      <c r="J23" s="9">
        <f t="shared" si="3"/>
        <v>1.8509302102818825</v>
      </c>
      <c r="K23" s="9">
        <f t="shared" si="3"/>
        <v>1.9990046271044333</v>
      </c>
      <c r="L23" s="9">
        <f t="shared" si="3"/>
        <v>2.1589249972727882</v>
      </c>
      <c r="M23" s="9">
        <f t="shared" si="3"/>
        <v>2.3316389970546112</v>
      </c>
      <c r="N23" s="9">
        <f t="shared" si="3"/>
        <v>2.5181701168189803</v>
      </c>
      <c r="O23" s="9">
        <f t="shared" si="3"/>
        <v>2.7196237261644991</v>
      </c>
      <c r="P23" s="9">
        <f t="shared" si="3"/>
        <v>2.9371936242576591</v>
      </c>
      <c r="Q23" s="9">
        <f t="shared" si="3"/>
        <v>3.172169114198272</v>
      </c>
      <c r="R23" s="9">
        <f t="shared" si="3"/>
        <v>3.425942643334134</v>
      </c>
      <c r="S23" s="9">
        <f t="shared" si="3"/>
        <v>3.7000180548008648</v>
      </c>
      <c r="T23" s="9">
        <f t="shared" si="3"/>
        <v>3.9960194991849343</v>
      </c>
      <c r="U23" s="9">
        <f t="shared" si="3"/>
        <v>4.3157010591197293</v>
      </c>
      <c r="V23" s="9">
        <f t="shared" si="3"/>
        <v>4.6609571438493083</v>
      </c>
      <c r="W23" s="9">
        <f t="shared" si="3"/>
        <v>5.033833715357253</v>
      </c>
      <c r="X23" s="9">
        <f t="shared" si="3"/>
        <v>5.4365404125858339</v>
      </c>
      <c r="Y23" s="9">
        <f t="shared" si="3"/>
        <v>5.8714636455927014</v>
      </c>
      <c r="Z23" s="9">
        <f t="shared" si="3"/>
        <v>6.3411807372401183</v>
      </c>
      <c r="AA23" s="9">
        <f t="shared" si="3"/>
        <v>6.8484751962193284</v>
      </c>
      <c r="AB23" s="9">
        <f t="shared" si="3"/>
        <v>7.3963532119168756</v>
      </c>
      <c r="AC23" s="9">
        <f t="shared" si="3"/>
        <v>7.9880614688702263</v>
      </c>
    </row>
    <row r="24" spans="1:29" x14ac:dyDescent="0.15">
      <c r="A24" s="2" t="s">
        <v>27</v>
      </c>
      <c r="B24" s="1">
        <v>1</v>
      </c>
      <c r="C24" s="9">
        <f t="shared" si="1"/>
        <v>1.08</v>
      </c>
      <c r="D24" s="9">
        <f t="shared" si="3"/>
        <v>1.1664000000000001</v>
      </c>
      <c r="E24" s="9">
        <f t="shared" si="3"/>
        <v>1.2597120000000002</v>
      </c>
      <c r="F24" s="9">
        <f t="shared" si="3"/>
        <v>1.3604889600000003</v>
      </c>
      <c r="G24" s="9">
        <f t="shared" si="3"/>
        <v>1.4693280768000003</v>
      </c>
      <c r="H24" s="9">
        <f t="shared" si="3"/>
        <v>1.5868743229440005</v>
      </c>
      <c r="I24" s="9">
        <f t="shared" si="3"/>
        <v>1.7138242687795207</v>
      </c>
      <c r="J24" s="9">
        <f t="shared" si="3"/>
        <v>1.8509302102818825</v>
      </c>
      <c r="K24" s="9">
        <f t="shared" si="3"/>
        <v>1.9990046271044333</v>
      </c>
      <c r="L24" s="9">
        <f t="shared" si="3"/>
        <v>2.1589249972727882</v>
      </c>
      <c r="M24" s="9">
        <f t="shared" si="3"/>
        <v>2.3316389970546112</v>
      </c>
      <c r="N24" s="9">
        <f t="shared" si="3"/>
        <v>2.5181701168189803</v>
      </c>
      <c r="O24" s="9">
        <f t="shared" si="3"/>
        <v>2.7196237261644991</v>
      </c>
      <c r="P24" s="9">
        <f t="shared" si="3"/>
        <v>2.9371936242576591</v>
      </c>
      <c r="Q24" s="9">
        <f t="shared" si="3"/>
        <v>3.172169114198272</v>
      </c>
      <c r="R24" s="9">
        <f t="shared" si="3"/>
        <v>3.425942643334134</v>
      </c>
      <c r="S24" s="9">
        <f t="shared" si="3"/>
        <v>3.7000180548008648</v>
      </c>
      <c r="T24" s="9">
        <f t="shared" si="3"/>
        <v>3.9960194991849343</v>
      </c>
      <c r="U24" s="9">
        <f t="shared" si="3"/>
        <v>4.3157010591197293</v>
      </c>
      <c r="V24" s="9">
        <f t="shared" si="3"/>
        <v>4.6609571438493083</v>
      </c>
      <c r="W24" s="9">
        <f t="shared" si="3"/>
        <v>5.033833715357253</v>
      </c>
      <c r="X24" s="9">
        <f t="shared" si="3"/>
        <v>5.4365404125858339</v>
      </c>
      <c r="Y24" s="9">
        <f t="shared" si="3"/>
        <v>5.8714636455927014</v>
      </c>
      <c r="Z24" s="9">
        <f t="shared" si="3"/>
        <v>6.3411807372401183</v>
      </c>
      <c r="AA24" s="9">
        <f t="shared" si="3"/>
        <v>6.8484751962193284</v>
      </c>
      <c r="AB24" s="9">
        <f t="shared" si="3"/>
        <v>7.3963532119168756</v>
      </c>
      <c r="AC24" s="9">
        <f t="shared" si="3"/>
        <v>7.9880614688702263</v>
      </c>
    </row>
    <row r="25" spans="1:29" x14ac:dyDescent="0.15">
      <c r="A25" s="2" t="s">
        <v>10</v>
      </c>
      <c r="B25" s="1">
        <v>1</v>
      </c>
      <c r="C25" s="9">
        <f t="shared" si="1"/>
        <v>1.08</v>
      </c>
      <c r="D25" s="9">
        <f t="shared" si="3"/>
        <v>1.1664000000000001</v>
      </c>
      <c r="E25" s="9">
        <f t="shared" si="3"/>
        <v>1.2597120000000002</v>
      </c>
      <c r="F25" s="9">
        <f t="shared" si="3"/>
        <v>1.3604889600000003</v>
      </c>
      <c r="G25" s="9">
        <f t="shared" si="3"/>
        <v>1.4693280768000003</v>
      </c>
      <c r="H25" s="9">
        <f t="shared" si="3"/>
        <v>1.5868743229440005</v>
      </c>
      <c r="I25" s="9">
        <f t="shared" si="3"/>
        <v>1.7138242687795207</v>
      </c>
      <c r="J25" s="9">
        <f t="shared" si="3"/>
        <v>1.8509302102818825</v>
      </c>
      <c r="K25" s="9">
        <f t="shared" si="3"/>
        <v>1.9990046271044333</v>
      </c>
      <c r="L25" s="9">
        <f t="shared" si="3"/>
        <v>2.1589249972727882</v>
      </c>
      <c r="M25" s="9">
        <f t="shared" si="3"/>
        <v>2.3316389970546112</v>
      </c>
      <c r="N25" s="9">
        <f t="shared" si="3"/>
        <v>2.5181701168189803</v>
      </c>
      <c r="O25" s="9">
        <f t="shared" si="3"/>
        <v>2.7196237261644991</v>
      </c>
      <c r="P25" s="9">
        <f t="shared" si="3"/>
        <v>2.9371936242576591</v>
      </c>
      <c r="Q25" s="9">
        <f t="shared" si="3"/>
        <v>3.172169114198272</v>
      </c>
      <c r="R25" s="9">
        <f t="shared" si="3"/>
        <v>3.425942643334134</v>
      </c>
      <c r="S25" s="9">
        <f t="shared" si="3"/>
        <v>3.7000180548008648</v>
      </c>
      <c r="T25" s="9">
        <f t="shared" si="3"/>
        <v>3.9960194991849343</v>
      </c>
      <c r="U25" s="9">
        <f t="shared" si="3"/>
        <v>4.3157010591197293</v>
      </c>
      <c r="V25" s="9">
        <f t="shared" si="3"/>
        <v>4.6609571438493083</v>
      </c>
      <c r="W25" s="9">
        <f t="shared" si="3"/>
        <v>5.033833715357253</v>
      </c>
      <c r="X25" s="9">
        <f t="shared" si="3"/>
        <v>5.4365404125858339</v>
      </c>
      <c r="Y25" s="9">
        <f t="shared" si="3"/>
        <v>5.8714636455927014</v>
      </c>
      <c r="Z25" s="9">
        <f t="shared" si="3"/>
        <v>6.3411807372401183</v>
      </c>
      <c r="AA25" s="9">
        <f t="shared" si="3"/>
        <v>6.8484751962193284</v>
      </c>
      <c r="AB25" s="9">
        <f t="shared" si="3"/>
        <v>7.3963532119168756</v>
      </c>
      <c r="AC25" s="9">
        <f t="shared" si="3"/>
        <v>7.9880614688702263</v>
      </c>
    </row>
    <row r="26" spans="1:29" x14ac:dyDescent="0.15">
      <c r="A26" s="2" t="s">
        <v>30</v>
      </c>
      <c r="B26" s="1">
        <v>1</v>
      </c>
      <c r="C26" s="9">
        <f t="shared" si="1"/>
        <v>1.08</v>
      </c>
      <c r="D26" s="9">
        <f t="shared" si="3"/>
        <v>1.1664000000000001</v>
      </c>
      <c r="E26" s="9">
        <f t="shared" si="3"/>
        <v>1.2597120000000002</v>
      </c>
      <c r="F26" s="9">
        <f t="shared" si="3"/>
        <v>1.3604889600000003</v>
      </c>
      <c r="G26" s="9">
        <f t="shared" si="3"/>
        <v>1.4693280768000003</v>
      </c>
      <c r="H26" s="9">
        <f t="shared" si="3"/>
        <v>1.5868743229440005</v>
      </c>
      <c r="I26" s="9">
        <f t="shared" si="3"/>
        <v>1.7138242687795207</v>
      </c>
      <c r="J26" s="9">
        <f t="shared" si="3"/>
        <v>1.8509302102818825</v>
      </c>
      <c r="K26" s="9">
        <f t="shared" si="3"/>
        <v>1.9990046271044333</v>
      </c>
      <c r="L26" s="9">
        <f t="shared" si="3"/>
        <v>2.1589249972727882</v>
      </c>
      <c r="M26" s="9">
        <f t="shared" si="3"/>
        <v>2.3316389970546112</v>
      </c>
      <c r="N26" s="9">
        <f t="shared" si="3"/>
        <v>2.5181701168189803</v>
      </c>
      <c r="O26" s="9">
        <f t="shared" si="3"/>
        <v>2.7196237261644991</v>
      </c>
      <c r="P26" s="9">
        <f t="shared" si="3"/>
        <v>2.9371936242576591</v>
      </c>
      <c r="Q26" s="9">
        <f t="shared" si="3"/>
        <v>3.172169114198272</v>
      </c>
      <c r="R26" s="9">
        <f t="shared" si="3"/>
        <v>3.425942643334134</v>
      </c>
      <c r="S26" s="9">
        <f t="shared" si="3"/>
        <v>3.7000180548008648</v>
      </c>
      <c r="T26" s="9">
        <f t="shared" si="3"/>
        <v>3.9960194991849343</v>
      </c>
      <c r="U26" s="9">
        <f t="shared" si="3"/>
        <v>4.3157010591197293</v>
      </c>
      <c r="V26" s="9">
        <f t="shared" si="3"/>
        <v>4.6609571438493083</v>
      </c>
      <c r="W26" s="9">
        <f t="shared" si="3"/>
        <v>5.033833715357253</v>
      </c>
      <c r="X26" s="9">
        <f t="shared" si="3"/>
        <v>5.4365404125858339</v>
      </c>
      <c r="Y26" s="9">
        <f t="shared" si="3"/>
        <v>5.8714636455927014</v>
      </c>
      <c r="Z26" s="9">
        <f t="shared" si="3"/>
        <v>6.3411807372401183</v>
      </c>
      <c r="AA26" s="9">
        <f t="shared" si="3"/>
        <v>6.8484751962193284</v>
      </c>
      <c r="AB26" s="9">
        <f t="shared" si="3"/>
        <v>7.3963532119168756</v>
      </c>
      <c r="AC26" s="9">
        <f t="shared" si="3"/>
        <v>7.9880614688702263</v>
      </c>
    </row>
    <row r="27" spans="1:29" x14ac:dyDescent="0.15">
      <c r="A27" s="2" t="s">
        <v>23</v>
      </c>
      <c r="B27" s="1">
        <v>1</v>
      </c>
      <c r="C27" s="9">
        <f t="shared" si="1"/>
        <v>1.08</v>
      </c>
      <c r="D27" s="9">
        <f t="shared" si="3"/>
        <v>1.1664000000000001</v>
      </c>
      <c r="E27" s="9">
        <f t="shared" si="3"/>
        <v>1.2597120000000002</v>
      </c>
      <c r="F27" s="9">
        <f t="shared" si="3"/>
        <v>1.3604889600000003</v>
      </c>
      <c r="G27" s="9">
        <f t="shared" si="3"/>
        <v>1.4693280768000003</v>
      </c>
      <c r="H27" s="9">
        <f t="shared" si="3"/>
        <v>1.5868743229440005</v>
      </c>
      <c r="I27" s="9">
        <f t="shared" si="3"/>
        <v>1.7138242687795207</v>
      </c>
      <c r="J27" s="9">
        <f t="shared" si="3"/>
        <v>1.8509302102818825</v>
      </c>
      <c r="K27" s="9">
        <f t="shared" si="3"/>
        <v>1.9990046271044333</v>
      </c>
      <c r="L27" s="9">
        <f t="shared" si="3"/>
        <v>2.1589249972727882</v>
      </c>
      <c r="M27" s="9">
        <f t="shared" si="3"/>
        <v>2.3316389970546112</v>
      </c>
      <c r="N27" s="9">
        <f t="shared" si="3"/>
        <v>2.5181701168189803</v>
      </c>
      <c r="O27" s="9">
        <f t="shared" si="3"/>
        <v>2.7196237261644991</v>
      </c>
      <c r="P27" s="9">
        <f t="shared" si="3"/>
        <v>2.9371936242576591</v>
      </c>
      <c r="Q27" s="9">
        <f t="shared" si="3"/>
        <v>3.172169114198272</v>
      </c>
      <c r="R27" s="9">
        <f t="shared" si="3"/>
        <v>3.425942643334134</v>
      </c>
      <c r="S27" s="9">
        <f t="shared" si="3"/>
        <v>3.7000180548008648</v>
      </c>
      <c r="T27" s="9">
        <f t="shared" si="3"/>
        <v>3.9960194991849343</v>
      </c>
      <c r="U27" s="9">
        <f t="shared" si="3"/>
        <v>4.3157010591197293</v>
      </c>
      <c r="V27" s="9">
        <f t="shared" si="3"/>
        <v>4.6609571438493083</v>
      </c>
      <c r="W27" s="9">
        <f t="shared" si="3"/>
        <v>5.033833715357253</v>
      </c>
      <c r="X27" s="9">
        <f t="shared" si="3"/>
        <v>5.4365404125858339</v>
      </c>
      <c r="Y27" s="9">
        <f t="shared" si="3"/>
        <v>5.8714636455927014</v>
      </c>
      <c r="Z27" s="9">
        <f t="shared" si="3"/>
        <v>6.3411807372401183</v>
      </c>
      <c r="AA27" s="9">
        <f t="shared" si="3"/>
        <v>6.8484751962193284</v>
      </c>
      <c r="AB27" s="9">
        <f t="shared" si="3"/>
        <v>7.3963532119168756</v>
      </c>
      <c r="AC27" s="9">
        <f t="shared" si="3"/>
        <v>7.9880614688702263</v>
      </c>
    </row>
    <row r="28" spans="1:29" x14ac:dyDescent="0.15">
      <c r="A28" s="2" t="s">
        <v>7</v>
      </c>
      <c r="B28" s="1">
        <v>1</v>
      </c>
      <c r="C28" s="9">
        <f t="shared" si="1"/>
        <v>1.08</v>
      </c>
      <c r="D28" s="9">
        <f t="shared" si="3"/>
        <v>1.1664000000000001</v>
      </c>
      <c r="E28" s="9">
        <f t="shared" si="3"/>
        <v>1.2597120000000002</v>
      </c>
      <c r="F28" s="9">
        <f t="shared" si="3"/>
        <v>1.3604889600000003</v>
      </c>
      <c r="G28" s="9">
        <f t="shared" si="3"/>
        <v>1.4693280768000003</v>
      </c>
      <c r="H28" s="9">
        <f t="shared" si="3"/>
        <v>1.5868743229440005</v>
      </c>
      <c r="I28" s="9">
        <f t="shared" si="3"/>
        <v>1.7138242687795207</v>
      </c>
      <c r="J28" s="9">
        <f t="shared" si="3"/>
        <v>1.8509302102818825</v>
      </c>
      <c r="K28" s="9">
        <f t="shared" si="3"/>
        <v>1.9990046271044333</v>
      </c>
      <c r="L28" s="9">
        <f t="shared" si="3"/>
        <v>2.1589249972727882</v>
      </c>
      <c r="M28" s="9">
        <f t="shared" si="3"/>
        <v>2.3316389970546112</v>
      </c>
      <c r="N28" s="9">
        <f t="shared" si="3"/>
        <v>2.5181701168189803</v>
      </c>
      <c r="O28" s="9">
        <f t="shared" si="3"/>
        <v>2.7196237261644991</v>
      </c>
      <c r="P28" s="9">
        <f t="shared" si="3"/>
        <v>2.9371936242576591</v>
      </c>
      <c r="Q28" s="9">
        <f t="shared" si="3"/>
        <v>3.172169114198272</v>
      </c>
      <c r="R28" s="9">
        <f t="shared" si="3"/>
        <v>3.425942643334134</v>
      </c>
      <c r="S28" s="9">
        <f t="shared" si="3"/>
        <v>3.7000180548008648</v>
      </c>
      <c r="T28" s="9">
        <f t="shared" si="3"/>
        <v>3.9960194991849343</v>
      </c>
      <c r="U28" s="9">
        <f t="shared" si="3"/>
        <v>4.3157010591197293</v>
      </c>
      <c r="V28" s="9">
        <f t="shared" si="3"/>
        <v>4.6609571438493083</v>
      </c>
      <c r="W28" s="9">
        <f t="shared" si="3"/>
        <v>5.033833715357253</v>
      </c>
      <c r="X28" s="9">
        <f t="shared" si="3"/>
        <v>5.4365404125858339</v>
      </c>
      <c r="Y28" s="9">
        <f t="shared" si="3"/>
        <v>5.8714636455927014</v>
      </c>
      <c r="Z28" s="9">
        <f t="shared" si="3"/>
        <v>6.3411807372401183</v>
      </c>
      <c r="AA28" s="9">
        <f t="shared" si="3"/>
        <v>6.8484751962193284</v>
      </c>
      <c r="AB28" s="9">
        <f t="shared" si="3"/>
        <v>7.3963532119168756</v>
      </c>
      <c r="AC28" s="9">
        <f t="shared" si="3"/>
        <v>7.9880614688702263</v>
      </c>
    </row>
    <row r="29" spans="1:29" x14ac:dyDescent="0.15">
      <c r="A29" s="2" t="s">
        <v>22</v>
      </c>
      <c r="B29" s="1">
        <v>1</v>
      </c>
      <c r="C29" s="9">
        <f t="shared" si="1"/>
        <v>1.08</v>
      </c>
      <c r="D29" s="9">
        <f t="shared" si="3"/>
        <v>1.1664000000000001</v>
      </c>
      <c r="E29" s="9">
        <f t="shared" si="3"/>
        <v>1.2597120000000002</v>
      </c>
      <c r="F29" s="9">
        <f t="shared" si="3"/>
        <v>1.3604889600000003</v>
      </c>
      <c r="G29" s="9">
        <f t="shared" si="3"/>
        <v>1.4693280768000003</v>
      </c>
      <c r="H29" s="9">
        <f t="shared" si="3"/>
        <v>1.5868743229440005</v>
      </c>
      <c r="I29" s="9">
        <f t="shared" si="3"/>
        <v>1.7138242687795207</v>
      </c>
      <c r="J29" s="9">
        <f t="shared" si="3"/>
        <v>1.8509302102818825</v>
      </c>
      <c r="K29" s="9">
        <f t="shared" si="3"/>
        <v>1.9990046271044333</v>
      </c>
      <c r="L29" s="9">
        <f t="shared" si="3"/>
        <v>2.1589249972727882</v>
      </c>
      <c r="M29" s="9">
        <f t="shared" si="3"/>
        <v>2.3316389970546112</v>
      </c>
      <c r="N29" s="9">
        <f t="shared" si="3"/>
        <v>2.5181701168189803</v>
      </c>
      <c r="O29" s="9">
        <f t="shared" si="3"/>
        <v>2.7196237261644991</v>
      </c>
      <c r="P29" s="9">
        <f t="shared" si="3"/>
        <v>2.9371936242576591</v>
      </c>
      <c r="Q29" s="9">
        <f t="shared" si="3"/>
        <v>3.172169114198272</v>
      </c>
      <c r="R29" s="9">
        <f t="shared" si="3"/>
        <v>3.425942643334134</v>
      </c>
      <c r="S29" s="9">
        <f t="shared" si="3"/>
        <v>3.7000180548008648</v>
      </c>
      <c r="T29" s="9">
        <f t="shared" si="3"/>
        <v>3.9960194991849343</v>
      </c>
      <c r="U29" s="9">
        <f t="shared" si="3"/>
        <v>4.3157010591197293</v>
      </c>
      <c r="V29" s="9">
        <f t="shared" si="3"/>
        <v>4.6609571438493083</v>
      </c>
      <c r="W29" s="9">
        <f t="shared" si="3"/>
        <v>5.033833715357253</v>
      </c>
      <c r="X29" s="9">
        <f t="shared" si="3"/>
        <v>5.4365404125858339</v>
      </c>
      <c r="Y29" s="9">
        <f t="shared" si="3"/>
        <v>5.8714636455927014</v>
      </c>
      <c r="Z29" s="9">
        <f t="shared" si="3"/>
        <v>6.3411807372401183</v>
      </c>
      <c r="AA29" s="9">
        <f t="shared" si="3"/>
        <v>6.8484751962193284</v>
      </c>
      <c r="AB29" s="9">
        <f t="shared" si="3"/>
        <v>7.3963532119168756</v>
      </c>
      <c r="AC29" s="9">
        <f t="shared" si="3"/>
        <v>7.9880614688702263</v>
      </c>
    </row>
    <row r="30" spans="1:29" ht="15" x14ac:dyDescent="0.25">
      <c r="A30" s="6" t="s">
        <v>21</v>
      </c>
      <c r="B30" s="1">
        <v>1</v>
      </c>
      <c r="C30" s="9">
        <f t="shared" si="1"/>
        <v>1.08</v>
      </c>
      <c r="D30" s="9">
        <f t="shared" si="3"/>
        <v>1.1664000000000001</v>
      </c>
      <c r="E30" s="9">
        <f t="shared" si="3"/>
        <v>1.2597120000000002</v>
      </c>
      <c r="F30" s="9">
        <f t="shared" si="3"/>
        <v>1.3604889600000003</v>
      </c>
      <c r="G30" s="9">
        <f t="shared" si="3"/>
        <v>1.4693280768000003</v>
      </c>
      <c r="H30" s="9">
        <f t="shared" si="3"/>
        <v>1.5868743229440005</v>
      </c>
      <c r="I30" s="9">
        <f t="shared" si="3"/>
        <v>1.7138242687795207</v>
      </c>
      <c r="J30" s="9">
        <f t="shared" si="3"/>
        <v>1.8509302102818825</v>
      </c>
      <c r="K30" s="9">
        <f t="shared" si="3"/>
        <v>1.9990046271044333</v>
      </c>
      <c r="L30" s="9">
        <f t="shared" si="3"/>
        <v>2.1589249972727882</v>
      </c>
      <c r="M30" s="9">
        <f t="shared" si="3"/>
        <v>2.3316389970546112</v>
      </c>
      <c r="N30" s="9">
        <f t="shared" si="3"/>
        <v>2.5181701168189803</v>
      </c>
      <c r="O30" s="9">
        <f t="shared" si="3"/>
        <v>2.7196237261644991</v>
      </c>
      <c r="P30" s="9">
        <f t="shared" si="3"/>
        <v>2.9371936242576591</v>
      </c>
      <c r="Q30" s="9">
        <f t="shared" si="3"/>
        <v>3.172169114198272</v>
      </c>
      <c r="R30" s="9">
        <f t="shared" si="3"/>
        <v>3.425942643334134</v>
      </c>
      <c r="S30" s="9">
        <f t="shared" si="3"/>
        <v>3.7000180548008648</v>
      </c>
      <c r="T30" s="9">
        <f t="shared" si="3"/>
        <v>3.9960194991849343</v>
      </c>
      <c r="U30" s="9">
        <f t="shared" si="3"/>
        <v>4.3157010591197293</v>
      </c>
      <c r="V30" s="9">
        <f t="shared" si="3"/>
        <v>4.6609571438493083</v>
      </c>
      <c r="W30" s="9">
        <f t="shared" si="3"/>
        <v>5.033833715357253</v>
      </c>
      <c r="X30" s="9">
        <f t="shared" si="3"/>
        <v>5.4365404125858339</v>
      </c>
      <c r="Y30" s="9">
        <f t="shared" si="3"/>
        <v>5.8714636455927014</v>
      </c>
      <c r="Z30" s="9">
        <f t="shared" si="3"/>
        <v>6.3411807372401183</v>
      </c>
      <c r="AA30" s="9">
        <f t="shared" si="3"/>
        <v>6.8484751962193284</v>
      </c>
      <c r="AB30" s="9">
        <f t="shared" si="3"/>
        <v>7.3963532119168756</v>
      </c>
      <c r="AC30" s="9">
        <f t="shared" si="3"/>
        <v>7.9880614688702263</v>
      </c>
    </row>
    <row r="31" spans="1:29" x14ac:dyDescent="0.15">
      <c r="A31" s="2" t="s">
        <v>29</v>
      </c>
      <c r="B31" s="1">
        <v>1</v>
      </c>
      <c r="C31" s="9">
        <f t="shared" si="1"/>
        <v>1.08</v>
      </c>
      <c r="D31" s="9">
        <f t="shared" si="3"/>
        <v>1.1664000000000001</v>
      </c>
      <c r="E31" s="9">
        <f t="shared" si="3"/>
        <v>1.2597120000000002</v>
      </c>
      <c r="F31" s="9">
        <f t="shared" si="3"/>
        <v>1.3604889600000003</v>
      </c>
      <c r="G31" s="9">
        <f t="shared" si="3"/>
        <v>1.4693280768000003</v>
      </c>
      <c r="H31" s="9">
        <f t="shared" si="3"/>
        <v>1.5868743229440005</v>
      </c>
      <c r="I31" s="9">
        <f t="shared" si="3"/>
        <v>1.7138242687795207</v>
      </c>
      <c r="J31" s="9">
        <f t="shared" si="3"/>
        <v>1.8509302102818825</v>
      </c>
      <c r="K31" s="9">
        <f t="shared" si="3"/>
        <v>1.9990046271044333</v>
      </c>
      <c r="L31" s="9">
        <f t="shared" si="3"/>
        <v>2.1589249972727882</v>
      </c>
      <c r="M31" s="9">
        <f t="shared" si="3"/>
        <v>2.3316389970546112</v>
      </c>
      <c r="N31" s="9">
        <f t="shared" si="3"/>
        <v>2.5181701168189803</v>
      </c>
      <c r="O31" s="9">
        <f t="shared" si="3"/>
        <v>2.7196237261644991</v>
      </c>
      <c r="P31" s="9">
        <f t="shared" si="3"/>
        <v>2.9371936242576591</v>
      </c>
      <c r="Q31" s="9">
        <f t="shared" si="3"/>
        <v>3.172169114198272</v>
      </c>
      <c r="R31" s="9">
        <f t="shared" si="3"/>
        <v>3.425942643334134</v>
      </c>
      <c r="S31" s="9">
        <f t="shared" si="3"/>
        <v>3.7000180548008648</v>
      </c>
      <c r="T31" s="9">
        <f t="shared" si="3"/>
        <v>3.9960194991849343</v>
      </c>
      <c r="U31" s="9">
        <f t="shared" si="3"/>
        <v>4.3157010591197293</v>
      </c>
      <c r="V31" s="9">
        <f t="shared" si="3"/>
        <v>4.6609571438493083</v>
      </c>
      <c r="W31" s="9">
        <f t="shared" si="3"/>
        <v>5.033833715357253</v>
      </c>
      <c r="X31" s="9">
        <f t="shared" si="3"/>
        <v>5.4365404125858339</v>
      </c>
      <c r="Y31" s="9">
        <f t="shared" si="3"/>
        <v>5.8714636455927014</v>
      </c>
      <c r="Z31" s="9">
        <f t="shared" si="3"/>
        <v>6.3411807372401183</v>
      </c>
      <c r="AA31" s="9">
        <f t="shared" si="3"/>
        <v>6.8484751962193284</v>
      </c>
      <c r="AB31" s="9">
        <f t="shared" si="3"/>
        <v>7.3963532119168756</v>
      </c>
      <c r="AC31" s="9">
        <f t="shared" si="3"/>
        <v>7.9880614688702263</v>
      </c>
    </row>
    <row r="32" spans="1:29" x14ac:dyDescent="0.15">
      <c r="A32" s="2" t="s">
        <v>33</v>
      </c>
      <c r="B32" s="1">
        <v>1</v>
      </c>
      <c r="C32" s="9">
        <f t="shared" si="1"/>
        <v>1.08</v>
      </c>
      <c r="D32" s="9">
        <f t="shared" ref="D32:AC32" si="4">C32*1.08</f>
        <v>1.1664000000000001</v>
      </c>
      <c r="E32" s="9">
        <f t="shared" si="4"/>
        <v>1.2597120000000002</v>
      </c>
      <c r="F32" s="9">
        <f t="shared" si="4"/>
        <v>1.3604889600000003</v>
      </c>
      <c r="G32" s="9">
        <f t="shared" si="4"/>
        <v>1.4693280768000003</v>
      </c>
      <c r="H32" s="9">
        <f t="shared" si="4"/>
        <v>1.5868743229440005</v>
      </c>
      <c r="I32" s="9">
        <f t="shared" si="4"/>
        <v>1.7138242687795207</v>
      </c>
      <c r="J32" s="9">
        <f t="shared" si="4"/>
        <v>1.8509302102818825</v>
      </c>
      <c r="K32" s="9">
        <f t="shared" si="4"/>
        <v>1.9990046271044333</v>
      </c>
      <c r="L32" s="9">
        <f t="shared" si="4"/>
        <v>2.1589249972727882</v>
      </c>
      <c r="M32" s="9">
        <f t="shared" si="4"/>
        <v>2.3316389970546112</v>
      </c>
      <c r="N32" s="9">
        <f t="shared" si="4"/>
        <v>2.5181701168189803</v>
      </c>
      <c r="O32" s="9">
        <f t="shared" si="4"/>
        <v>2.7196237261644991</v>
      </c>
      <c r="P32" s="9">
        <f t="shared" si="4"/>
        <v>2.9371936242576591</v>
      </c>
      <c r="Q32" s="9">
        <f t="shared" si="4"/>
        <v>3.172169114198272</v>
      </c>
      <c r="R32" s="9">
        <f t="shared" si="4"/>
        <v>3.425942643334134</v>
      </c>
      <c r="S32" s="9">
        <f t="shared" si="4"/>
        <v>3.7000180548008648</v>
      </c>
      <c r="T32" s="9">
        <f t="shared" si="4"/>
        <v>3.9960194991849343</v>
      </c>
      <c r="U32" s="9">
        <f t="shared" si="4"/>
        <v>4.3157010591197293</v>
      </c>
      <c r="V32" s="9">
        <f t="shared" si="4"/>
        <v>4.6609571438493083</v>
      </c>
      <c r="W32" s="9">
        <f t="shared" si="4"/>
        <v>5.033833715357253</v>
      </c>
      <c r="X32" s="9">
        <f t="shared" si="4"/>
        <v>5.4365404125858339</v>
      </c>
      <c r="Y32" s="9">
        <f t="shared" si="4"/>
        <v>5.8714636455927014</v>
      </c>
      <c r="Z32" s="9">
        <f t="shared" si="4"/>
        <v>6.3411807372401183</v>
      </c>
      <c r="AA32" s="9">
        <f t="shared" si="4"/>
        <v>6.8484751962193284</v>
      </c>
      <c r="AB32" s="9">
        <f t="shared" si="4"/>
        <v>7.3963532119168756</v>
      </c>
      <c r="AC32" s="9">
        <f t="shared" si="4"/>
        <v>7.9880614688702263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524E-6EF0-4A1A-9916-BBFB15D2AECA}">
  <dimension ref="A1:AC32"/>
  <sheetViews>
    <sheetView zoomScale="115" zoomScaleNormal="115" workbookViewId="0">
      <selection activeCell="A2" sqref="A2:A32"/>
    </sheetView>
  </sheetViews>
  <sheetFormatPr defaultRowHeight="13.5" x14ac:dyDescent="0.15"/>
  <sheetData>
    <row r="1" spans="1:29" ht="15" x14ac:dyDescent="0.25">
      <c r="A1" s="1"/>
      <c r="B1" s="5">
        <v>2023</v>
      </c>
      <c r="C1" s="5">
        <v>2024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</row>
    <row r="2" spans="1:29" x14ac:dyDescent="0.15">
      <c r="A2" s="2" t="s">
        <v>4</v>
      </c>
      <c r="B2" s="1">
        <v>1</v>
      </c>
      <c r="C2" s="9">
        <f>B2*1.12</f>
        <v>1.1200000000000001</v>
      </c>
      <c r="D2" s="9">
        <f t="shared" ref="D2:AC12" si="0">C2*1.12</f>
        <v>1.2544000000000002</v>
      </c>
      <c r="E2" s="9">
        <f t="shared" si="0"/>
        <v>1.4049280000000004</v>
      </c>
      <c r="F2" s="9">
        <f t="shared" si="0"/>
        <v>1.5735193600000006</v>
      </c>
      <c r="G2" s="9">
        <f t="shared" si="0"/>
        <v>1.7623416832000007</v>
      </c>
      <c r="H2" s="9">
        <f t="shared" si="0"/>
        <v>1.9738226851840011</v>
      </c>
      <c r="I2" s="9">
        <f t="shared" si="0"/>
        <v>2.2106814074060814</v>
      </c>
      <c r="J2" s="9">
        <f t="shared" si="0"/>
        <v>2.4759631762948113</v>
      </c>
      <c r="K2" s="9">
        <f t="shared" si="0"/>
        <v>2.7730787574501892</v>
      </c>
      <c r="L2" s="9">
        <f t="shared" si="0"/>
        <v>3.105848208344212</v>
      </c>
      <c r="M2" s="9">
        <f t="shared" si="0"/>
        <v>3.478549993345518</v>
      </c>
      <c r="N2" s="9">
        <f t="shared" si="0"/>
        <v>3.8959759925469806</v>
      </c>
      <c r="O2" s="9">
        <f t="shared" si="0"/>
        <v>4.3634931116526188</v>
      </c>
      <c r="P2" s="9">
        <f t="shared" si="0"/>
        <v>4.8871122850509332</v>
      </c>
      <c r="Q2" s="9">
        <f t="shared" si="0"/>
        <v>5.4735657592570455</v>
      </c>
      <c r="R2" s="9">
        <f t="shared" si="0"/>
        <v>6.1303936503678917</v>
      </c>
      <c r="S2" s="9">
        <f t="shared" si="0"/>
        <v>6.866040888412039</v>
      </c>
      <c r="T2" s="9">
        <f t="shared" si="0"/>
        <v>7.6899657950214841</v>
      </c>
      <c r="U2" s="9">
        <f t="shared" si="0"/>
        <v>8.6127616904240636</v>
      </c>
      <c r="V2" s="9">
        <f t="shared" si="0"/>
        <v>9.6462930932749522</v>
      </c>
      <c r="W2" s="9">
        <f t="shared" si="0"/>
        <v>10.803848264467948</v>
      </c>
      <c r="X2" s="9">
        <f t="shared" si="0"/>
        <v>12.100310056204103</v>
      </c>
      <c r="Y2" s="9">
        <f t="shared" si="0"/>
        <v>13.552347262948597</v>
      </c>
      <c r="Z2" s="9">
        <f t="shared" si="0"/>
        <v>15.178628934502431</v>
      </c>
      <c r="AA2" s="9">
        <f t="shared" si="0"/>
        <v>17.000064406642725</v>
      </c>
      <c r="AB2" s="9">
        <f t="shared" si="0"/>
        <v>19.040072135439853</v>
      </c>
      <c r="AC2" s="9">
        <f t="shared" si="0"/>
        <v>21.324880791692639</v>
      </c>
    </row>
    <row r="3" spans="1:29" x14ac:dyDescent="0.15">
      <c r="A3" s="2" t="s">
        <v>28</v>
      </c>
      <c r="B3" s="1">
        <v>1</v>
      </c>
      <c r="C3" s="9">
        <f t="shared" ref="C3:R32" si="1">B3*1.12</f>
        <v>1.1200000000000001</v>
      </c>
      <c r="D3" s="9">
        <f t="shared" si="1"/>
        <v>1.2544000000000002</v>
      </c>
      <c r="E3" s="9">
        <f t="shared" si="1"/>
        <v>1.4049280000000004</v>
      </c>
      <c r="F3" s="9">
        <f t="shared" si="1"/>
        <v>1.5735193600000006</v>
      </c>
      <c r="G3" s="9">
        <f t="shared" si="1"/>
        <v>1.7623416832000007</v>
      </c>
      <c r="H3" s="9">
        <f t="shared" si="1"/>
        <v>1.9738226851840011</v>
      </c>
      <c r="I3" s="9">
        <f t="shared" si="1"/>
        <v>2.2106814074060814</v>
      </c>
      <c r="J3" s="9">
        <f t="shared" si="1"/>
        <v>2.4759631762948113</v>
      </c>
      <c r="K3" s="9">
        <f t="shared" si="1"/>
        <v>2.7730787574501892</v>
      </c>
      <c r="L3" s="9">
        <f t="shared" si="1"/>
        <v>3.105848208344212</v>
      </c>
      <c r="M3" s="9">
        <f t="shared" si="1"/>
        <v>3.478549993345518</v>
      </c>
      <c r="N3" s="9">
        <f t="shared" si="1"/>
        <v>3.8959759925469806</v>
      </c>
      <c r="O3" s="9">
        <f t="shared" si="1"/>
        <v>4.3634931116526188</v>
      </c>
      <c r="P3" s="9">
        <f t="shared" si="1"/>
        <v>4.8871122850509332</v>
      </c>
      <c r="Q3" s="9">
        <f t="shared" si="1"/>
        <v>5.4735657592570455</v>
      </c>
      <c r="R3" s="9">
        <f t="shared" si="1"/>
        <v>6.1303936503678917</v>
      </c>
      <c r="S3" s="9">
        <f t="shared" si="0"/>
        <v>6.866040888412039</v>
      </c>
      <c r="T3" s="9">
        <f t="shared" si="0"/>
        <v>7.6899657950214841</v>
      </c>
      <c r="U3" s="9">
        <f t="shared" si="0"/>
        <v>8.6127616904240636</v>
      </c>
      <c r="V3" s="9">
        <f t="shared" si="0"/>
        <v>9.6462930932749522</v>
      </c>
      <c r="W3" s="9">
        <f t="shared" si="0"/>
        <v>10.803848264467948</v>
      </c>
      <c r="X3" s="9">
        <f t="shared" si="0"/>
        <v>12.100310056204103</v>
      </c>
      <c r="Y3" s="9">
        <f t="shared" si="0"/>
        <v>13.552347262948597</v>
      </c>
      <c r="Z3" s="9">
        <f t="shared" si="0"/>
        <v>15.178628934502431</v>
      </c>
      <c r="AA3" s="9">
        <f t="shared" si="0"/>
        <v>17.000064406642725</v>
      </c>
      <c r="AB3" s="9">
        <f t="shared" si="0"/>
        <v>19.040072135439853</v>
      </c>
      <c r="AC3" s="9">
        <f t="shared" si="0"/>
        <v>21.324880791692639</v>
      </c>
    </row>
    <row r="4" spans="1:29" x14ac:dyDescent="0.15">
      <c r="A4" s="2" t="s">
        <v>12</v>
      </c>
      <c r="B4" s="1">
        <v>1</v>
      </c>
      <c r="C4" s="9">
        <f t="shared" si="1"/>
        <v>1.1200000000000001</v>
      </c>
      <c r="D4" s="9">
        <f t="shared" si="0"/>
        <v>1.2544000000000002</v>
      </c>
      <c r="E4" s="9">
        <f t="shared" si="0"/>
        <v>1.4049280000000004</v>
      </c>
      <c r="F4" s="9">
        <f t="shared" si="0"/>
        <v>1.5735193600000006</v>
      </c>
      <c r="G4" s="9">
        <f t="shared" si="0"/>
        <v>1.7623416832000007</v>
      </c>
      <c r="H4" s="9">
        <f t="shared" si="0"/>
        <v>1.9738226851840011</v>
      </c>
      <c r="I4" s="9">
        <f t="shared" si="0"/>
        <v>2.2106814074060814</v>
      </c>
      <c r="J4" s="9">
        <f t="shared" si="0"/>
        <v>2.4759631762948113</v>
      </c>
      <c r="K4" s="9">
        <f t="shared" si="0"/>
        <v>2.7730787574501892</v>
      </c>
      <c r="L4" s="9">
        <f t="shared" si="0"/>
        <v>3.105848208344212</v>
      </c>
      <c r="M4" s="9">
        <f t="shared" si="0"/>
        <v>3.478549993345518</v>
      </c>
      <c r="N4" s="9">
        <f t="shared" si="0"/>
        <v>3.8959759925469806</v>
      </c>
      <c r="O4" s="9">
        <f t="shared" si="0"/>
        <v>4.3634931116526188</v>
      </c>
      <c r="P4" s="9">
        <f t="shared" si="0"/>
        <v>4.8871122850509332</v>
      </c>
      <c r="Q4" s="9">
        <f t="shared" si="0"/>
        <v>5.4735657592570455</v>
      </c>
      <c r="R4" s="9">
        <f t="shared" si="0"/>
        <v>6.1303936503678917</v>
      </c>
      <c r="S4" s="9">
        <f t="shared" si="0"/>
        <v>6.866040888412039</v>
      </c>
      <c r="T4" s="9">
        <f t="shared" si="0"/>
        <v>7.6899657950214841</v>
      </c>
      <c r="U4" s="9">
        <f t="shared" si="0"/>
        <v>8.6127616904240636</v>
      </c>
      <c r="V4" s="9">
        <f t="shared" si="0"/>
        <v>9.6462930932749522</v>
      </c>
      <c r="W4" s="9">
        <f t="shared" si="0"/>
        <v>10.803848264467948</v>
      </c>
      <c r="X4" s="9">
        <f t="shared" si="0"/>
        <v>12.100310056204103</v>
      </c>
      <c r="Y4" s="9">
        <f t="shared" si="0"/>
        <v>13.552347262948597</v>
      </c>
      <c r="Z4" s="9">
        <f t="shared" si="0"/>
        <v>15.178628934502431</v>
      </c>
      <c r="AA4" s="9">
        <f t="shared" si="0"/>
        <v>17.000064406642725</v>
      </c>
      <c r="AB4" s="9">
        <f t="shared" si="0"/>
        <v>19.040072135439853</v>
      </c>
      <c r="AC4" s="9">
        <f t="shared" si="0"/>
        <v>21.324880791692639</v>
      </c>
    </row>
    <row r="5" spans="1:29" x14ac:dyDescent="0.15">
      <c r="A5" s="2" t="s">
        <v>26</v>
      </c>
      <c r="B5" s="1">
        <v>1</v>
      </c>
      <c r="C5" s="9">
        <f t="shared" si="1"/>
        <v>1.1200000000000001</v>
      </c>
      <c r="D5" s="9">
        <f t="shared" si="0"/>
        <v>1.2544000000000002</v>
      </c>
      <c r="E5" s="9">
        <f t="shared" si="0"/>
        <v>1.4049280000000004</v>
      </c>
      <c r="F5" s="9">
        <f t="shared" si="0"/>
        <v>1.5735193600000006</v>
      </c>
      <c r="G5" s="9">
        <f t="shared" si="0"/>
        <v>1.7623416832000007</v>
      </c>
      <c r="H5" s="9">
        <f t="shared" si="0"/>
        <v>1.9738226851840011</v>
      </c>
      <c r="I5" s="9">
        <f t="shared" si="0"/>
        <v>2.2106814074060814</v>
      </c>
      <c r="J5" s="9">
        <f t="shared" si="0"/>
        <v>2.4759631762948113</v>
      </c>
      <c r="K5" s="9">
        <f t="shared" si="0"/>
        <v>2.7730787574501892</v>
      </c>
      <c r="L5" s="9">
        <f t="shared" si="0"/>
        <v>3.105848208344212</v>
      </c>
      <c r="M5" s="9">
        <f t="shared" si="0"/>
        <v>3.478549993345518</v>
      </c>
      <c r="N5" s="9">
        <f t="shared" si="0"/>
        <v>3.8959759925469806</v>
      </c>
      <c r="O5" s="9">
        <f t="shared" si="0"/>
        <v>4.3634931116526188</v>
      </c>
      <c r="P5" s="9">
        <f t="shared" si="0"/>
        <v>4.8871122850509332</v>
      </c>
      <c r="Q5" s="9">
        <f t="shared" si="0"/>
        <v>5.4735657592570455</v>
      </c>
      <c r="R5" s="9">
        <f t="shared" si="0"/>
        <v>6.1303936503678917</v>
      </c>
      <c r="S5" s="9">
        <f t="shared" si="0"/>
        <v>6.866040888412039</v>
      </c>
      <c r="T5" s="9">
        <f t="shared" si="0"/>
        <v>7.6899657950214841</v>
      </c>
      <c r="U5" s="9">
        <f t="shared" si="0"/>
        <v>8.6127616904240636</v>
      </c>
      <c r="V5" s="9">
        <f t="shared" si="0"/>
        <v>9.6462930932749522</v>
      </c>
      <c r="W5" s="9">
        <f t="shared" si="0"/>
        <v>10.803848264467948</v>
      </c>
      <c r="X5" s="9">
        <f t="shared" si="0"/>
        <v>12.100310056204103</v>
      </c>
      <c r="Y5" s="9">
        <f t="shared" si="0"/>
        <v>13.552347262948597</v>
      </c>
      <c r="Z5" s="9">
        <f t="shared" si="0"/>
        <v>15.178628934502431</v>
      </c>
      <c r="AA5" s="9">
        <f t="shared" si="0"/>
        <v>17.000064406642725</v>
      </c>
      <c r="AB5" s="9">
        <f t="shared" si="0"/>
        <v>19.040072135439853</v>
      </c>
      <c r="AC5" s="9">
        <f t="shared" si="0"/>
        <v>21.324880791692639</v>
      </c>
    </row>
    <row r="6" spans="1:29" x14ac:dyDescent="0.15">
      <c r="A6" s="2" t="s">
        <v>32</v>
      </c>
      <c r="B6" s="1">
        <v>1</v>
      </c>
      <c r="C6" s="9">
        <f t="shared" si="1"/>
        <v>1.1200000000000001</v>
      </c>
      <c r="D6" s="9">
        <f t="shared" si="0"/>
        <v>1.2544000000000002</v>
      </c>
      <c r="E6" s="9">
        <f t="shared" si="0"/>
        <v>1.4049280000000004</v>
      </c>
      <c r="F6" s="9">
        <f t="shared" si="0"/>
        <v>1.5735193600000006</v>
      </c>
      <c r="G6" s="9">
        <f t="shared" si="0"/>
        <v>1.7623416832000007</v>
      </c>
      <c r="H6" s="9">
        <f t="shared" si="0"/>
        <v>1.9738226851840011</v>
      </c>
      <c r="I6" s="9">
        <f t="shared" si="0"/>
        <v>2.2106814074060814</v>
      </c>
      <c r="J6" s="9">
        <f t="shared" si="0"/>
        <v>2.4759631762948113</v>
      </c>
      <c r="K6" s="9">
        <f t="shared" si="0"/>
        <v>2.7730787574501892</v>
      </c>
      <c r="L6" s="9">
        <f t="shared" si="0"/>
        <v>3.105848208344212</v>
      </c>
      <c r="M6" s="9">
        <f t="shared" si="0"/>
        <v>3.478549993345518</v>
      </c>
      <c r="N6" s="9">
        <f t="shared" si="0"/>
        <v>3.8959759925469806</v>
      </c>
      <c r="O6" s="9">
        <f t="shared" si="0"/>
        <v>4.3634931116526188</v>
      </c>
      <c r="P6" s="9">
        <f t="shared" si="0"/>
        <v>4.8871122850509332</v>
      </c>
      <c r="Q6" s="9">
        <f t="shared" si="0"/>
        <v>5.4735657592570455</v>
      </c>
      <c r="R6" s="9">
        <f t="shared" si="0"/>
        <v>6.1303936503678917</v>
      </c>
      <c r="S6" s="9">
        <f t="shared" si="0"/>
        <v>6.866040888412039</v>
      </c>
      <c r="T6" s="9">
        <f t="shared" si="0"/>
        <v>7.6899657950214841</v>
      </c>
      <c r="U6" s="9">
        <f t="shared" si="0"/>
        <v>8.6127616904240636</v>
      </c>
      <c r="V6" s="9">
        <f t="shared" si="0"/>
        <v>9.6462930932749522</v>
      </c>
      <c r="W6" s="9">
        <f t="shared" si="0"/>
        <v>10.803848264467948</v>
      </c>
      <c r="X6" s="9">
        <f t="shared" si="0"/>
        <v>12.100310056204103</v>
      </c>
      <c r="Y6" s="9">
        <f t="shared" si="0"/>
        <v>13.552347262948597</v>
      </c>
      <c r="Z6" s="9">
        <f t="shared" si="0"/>
        <v>15.178628934502431</v>
      </c>
      <c r="AA6" s="9">
        <f t="shared" si="0"/>
        <v>17.000064406642725</v>
      </c>
      <c r="AB6" s="9">
        <f t="shared" si="0"/>
        <v>19.040072135439853</v>
      </c>
      <c r="AC6" s="9">
        <f t="shared" si="0"/>
        <v>21.324880791692639</v>
      </c>
    </row>
    <row r="7" spans="1:29" x14ac:dyDescent="0.15">
      <c r="A7" s="2" t="s">
        <v>20</v>
      </c>
      <c r="B7" s="1">
        <v>1</v>
      </c>
      <c r="C7" s="9">
        <f t="shared" si="1"/>
        <v>1.1200000000000001</v>
      </c>
      <c r="D7" s="9">
        <f t="shared" si="0"/>
        <v>1.2544000000000002</v>
      </c>
      <c r="E7" s="9">
        <f t="shared" si="0"/>
        <v>1.4049280000000004</v>
      </c>
      <c r="F7" s="9">
        <f t="shared" si="0"/>
        <v>1.5735193600000006</v>
      </c>
      <c r="G7" s="9">
        <f t="shared" si="0"/>
        <v>1.7623416832000007</v>
      </c>
      <c r="H7" s="9">
        <f t="shared" si="0"/>
        <v>1.9738226851840011</v>
      </c>
      <c r="I7" s="9">
        <f t="shared" si="0"/>
        <v>2.2106814074060814</v>
      </c>
      <c r="J7" s="9">
        <f t="shared" si="0"/>
        <v>2.4759631762948113</v>
      </c>
      <c r="K7" s="9">
        <f t="shared" si="0"/>
        <v>2.7730787574501892</v>
      </c>
      <c r="L7" s="9">
        <f t="shared" si="0"/>
        <v>3.105848208344212</v>
      </c>
      <c r="M7" s="9">
        <f t="shared" si="0"/>
        <v>3.478549993345518</v>
      </c>
      <c r="N7" s="9">
        <f t="shared" si="0"/>
        <v>3.8959759925469806</v>
      </c>
      <c r="O7" s="9">
        <f t="shared" si="0"/>
        <v>4.3634931116526188</v>
      </c>
      <c r="P7" s="9">
        <f t="shared" si="0"/>
        <v>4.8871122850509332</v>
      </c>
      <c r="Q7" s="9">
        <f t="shared" si="0"/>
        <v>5.4735657592570455</v>
      </c>
      <c r="R7" s="9">
        <f t="shared" si="0"/>
        <v>6.1303936503678917</v>
      </c>
      <c r="S7" s="9">
        <f t="shared" si="0"/>
        <v>6.866040888412039</v>
      </c>
      <c r="T7" s="9">
        <f t="shared" si="0"/>
        <v>7.6899657950214841</v>
      </c>
      <c r="U7" s="9">
        <f t="shared" si="0"/>
        <v>8.6127616904240636</v>
      </c>
      <c r="V7" s="9">
        <f t="shared" si="0"/>
        <v>9.6462930932749522</v>
      </c>
      <c r="W7" s="9">
        <f t="shared" si="0"/>
        <v>10.803848264467948</v>
      </c>
      <c r="X7" s="9">
        <f t="shared" si="0"/>
        <v>12.100310056204103</v>
      </c>
      <c r="Y7" s="9">
        <f t="shared" si="0"/>
        <v>13.552347262948597</v>
      </c>
      <c r="Z7" s="9">
        <f t="shared" si="0"/>
        <v>15.178628934502431</v>
      </c>
      <c r="AA7" s="9">
        <f t="shared" si="0"/>
        <v>17.000064406642725</v>
      </c>
      <c r="AB7" s="9">
        <f t="shared" si="0"/>
        <v>19.040072135439853</v>
      </c>
      <c r="AC7" s="9">
        <f t="shared" si="0"/>
        <v>21.324880791692639</v>
      </c>
    </row>
    <row r="8" spans="1:29" x14ac:dyDescent="0.15">
      <c r="A8" s="2" t="s">
        <v>19</v>
      </c>
      <c r="B8" s="1">
        <v>1</v>
      </c>
      <c r="C8" s="9">
        <f t="shared" si="1"/>
        <v>1.1200000000000001</v>
      </c>
      <c r="D8" s="9">
        <f t="shared" si="0"/>
        <v>1.2544000000000002</v>
      </c>
      <c r="E8" s="9">
        <f t="shared" si="0"/>
        <v>1.4049280000000004</v>
      </c>
      <c r="F8" s="9">
        <f t="shared" si="0"/>
        <v>1.5735193600000006</v>
      </c>
      <c r="G8" s="9">
        <f t="shared" si="0"/>
        <v>1.7623416832000007</v>
      </c>
      <c r="H8" s="9">
        <f t="shared" si="0"/>
        <v>1.9738226851840011</v>
      </c>
      <c r="I8" s="9">
        <f t="shared" si="0"/>
        <v>2.2106814074060814</v>
      </c>
      <c r="J8" s="9">
        <f t="shared" si="0"/>
        <v>2.4759631762948113</v>
      </c>
      <c r="K8" s="9">
        <f t="shared" si="0"/>
        <v>2.7730787574501892</v>
      </c>
      <c r="L8" s="9">
        <f t="shared" si="0"/>
        <v>3.105848208344212</v>
      </c>
      <c r="M8" s="9">
        <f t="shared" si="0"/>
        <v>3.478549993345518</v>
      </c>
      <c r="N8" s="9">
        <f t="shared" si="0"/>
        <v>3.8959759925469806</v>
      </c>
      <c r="O8" s="9">
        <f t="shared" si="0"/>
        <v>4.3634931116526188</v>
      </c>
      <c r="P8" s="9">
        <f t="shared" si="0"/>
        <v>4.8871122850509332</v>
      </c>
      <c r="Q8" s="9">
        <f t="shared" si="0"/>
        <v>5.4735657592570455</v>
      </c>
      <c r="R8" s="9">
        <f t="shared" si="0"/>
        <v>6.1303936503678917</v>
      </c>
      <c r="S8" s="9">
        <f t="shared" si="0"/>
        <v>6.866040888412039</v>
      </c>
      <c r="T8" s="9">
        <f t="shared" si="0"/>
        <v>7.6899657950214841</v>
      </c>
      <c r="U8" s="9">
        <f t="shared" si="0"/>
        <v>8.6127616904240636</v>
      </c>
      <c r="V8" s="9">
        <f t="shared" si="0"/>
        <v>9.6462930932749522</v>
      </c>
      <c r="W8" s="9">
        <f t="shared" si="0"/>
        <v>10.803848264467948</v>
      </c>
      <c r="X8" s="9">
        <f t="shared" si="0"/>
        <v>12.100310056204103</v>
      </c>
      <c r="Y8" s="9">
        <f t="shared" si="0"/>
        <v>13.552347262948597</v>
      </c>
      <c r="Z8" s="9">
        <f t="shared" si="0"/>
        <v>15.178628934502431</v>
      </c>
      <c r="AA8" s="9">
        <f t="shared" si="0"/>
        <v>17.000064406642725</v>
      </c>
      <c r="AB8" s="9">
        <f t="shared" si="0"/>
        <v>19.040072135439853</v>
      </c>
      <c r="AC8" s="9">
        <f t="shared" si="0"/>
        <v>21.324880791692639</v>
      </c>
    </row>
    <row r="9" spans="1:29" x14ac:dyDescent="0.15">
      <c r="A9" s="2" t="s">
        <v>13</v>
      </c>
      <c r="B9" s="1">
        <v>1</v>
      </c>
      <c r="C9" s="9">
        <f t="shared" si="1"/>
        <v>1.1200000000000001</v>
      </c>
      <c r="D9" s="9">
        <f t="shared" si="0"/>
        <v>1.2544000000000002</v>
      </c>
      <c r="E9" s="9">
        <f t="shared" si="0"/>
        <v>1.4049280000000004</v>
      </c>
      <c r="F9" s="9">
        <f t="shared" si="0"/>
        <v>1.5735193600000006</v>
      </c>
      <c r="G9" s="9">
        <f t="shared" si="0"/>
        <v>1.7623416832000007</v>
      </c>
      <c r="H9" s="9">
        <f t="shared" si="0"/>
        <v>1.9738226851840011</v>
      </c>
      <c r="I9" s="9">
        <f t="shared" si="0"/>
        <v>2.2106814074060814</v>
      </c>
      <c r="J9" s="9">
        <f t="shared" si="0"/>
        <v>2.4759631762948113</v>
      </c>
      <c r="K9" s="9">
        <f t="shared" si="0"/>
        <v>2.7730787574501892</v>
      </c>
      <c r="L9" s="9">
        <f t="shared" si="0"/>
        <v>3.105848208344212</v>
      </c>
      <c r="M9" s="9">
        <f t="shared" si="0"/>
        <v>3.478549993345518</v>
      </c>
      <c r="N9" s="9">
        <f t="shared" si="0"/>
        <v>3.8959759925469806</v>
      </c>
      <c r="O9" s="9">
        <f t="shared" si="0"/>
        <v>4.3634931116526188</v>
      </c>
      <c r="P9" s="9">
        <f t="shared" si="0"/>
        <v>4.8871122850509332</v>
      </c>
      <c r="Q9" s="9">
        <f t="shared" si="0"/>
        <v>5.4735657592570455</v>
      </c>
      <c r="R9" s="9">
        <f t="shared" si="0"/>
        <v>6.1303936503678917</v>
      </c>
      <c r="S9" s="9">
        <f t="shared" si="0"/>
        <v>6.866040888412039</v>
      </c>
      <c r="T9" s="9">
        <f t="shared" si="0"/>
        <v>7.6899657950214841</v>
      </c>
      <c r="U9" s="9">
        <f t="shared" si="0"/>
        <v>8.6127616904240636</v>
      </c>
      <c r="V9" s="9">
        <f t="shared" si="0"/>
        <v>9.6462930932749522</v>
      </c>
      <c r="W9" s="9">
        <f t="shared" si="0"/>
        <v>10.803848264467948</v>
      </c>
      <c r="X9" s="9">
        <f t="shared" si="0"/>
        <v>12.100310056204103</v>
      </c>
      <c r="Y9" s="9">
        <f t="shared" si="0"/>
        <v>13.552347262948597</v>
      </c>
      <c r="Z9" s="9">
        <f t="shared" si="0"/>
        <v>15.178628934502431</v>
      </c>
      <c r="AA9" s="9">
        <f t="shared" si="0"/>
        <v>17.000064406642725</v>
      </c>
      <c r="AB9" s="9">
        <f t="shared" si="0"/>
        <v>19.040072135439853</v>
      </c>
      <c r="AC9" s="9">
        <f t="shared" si="0"/>
        <v>21.324880791692639</v>
      </c>
    </row>
    <row r="10" spans="1:29" x14ac:dyDescent="0.15">
      <c r="A10" s="2" t="s">
        <v>25</v>
      </c>
      <c r="B10" s="1">
        <v>1</v>
      </c>
      <c r="C10" s="9">
        <f t="shared" si="1"/>
        <v>1.1200000000000001</v>
      </c>
      <c r="D10" s="9">
        <f t="shared" si="0"/>
        <v>1.2544000000000002</v>
      </c>
      <c r="E10" s="9">
        <f t="shared" si="0"/>
        <v>1.4049280000000004</v>
      </c>
      <c r="F10" s="9">
        <f t="shared" si="0"/>
        <v>1.5735193600000006</v>
      </c>
      <c r="G10" s="9">
        <f t="shared" si="0"/>
        <v>1.7623416832000007</v>
      </c>
      <c r="H10" s="9">
        <f t="shared" si="0"/>
        <v>1.9738226851840011</v>
      </c>
      <c r="I10" s="9">
        <f t="shared" si="0"/>
        <v>2.2106814074060814</v>
      </c>
      <c r="J10" s="9">
        <f t="shared" si="0"/>
        <v>2.4759631762948113</v>
      </c>
      <c r="K10" s="9">
        <f t="shared" si="0"/>
        <v>2.7730787574501892</v>
      </c>
      <c r="L10" s="9">
        <f t="shared" si="0"/>
        <v>3.105848208344212</v>
      </c>
      <c r="M10" s="9">
        <f t="shared" si="0"/>
        <v>3.478549993345518</v>
      </c>
      <c r="N10" s="9">
        <f t="shared" si="0"/>
        <v>3.8959759925469806</v>
      </c>
      <c r="O10" s="9">
        <f t="shared" si="0"/>
        <v>4.3634931116526188</v>
      </c>
      <c r="P10" s="9">
        <f t="shared" si="0"/>
        <v>4.8871122850509332</v>
      </c>
      <c r="Q10" s="9">
        <f t="shared" si="0"/>
        <v>5.4735657592570455</v>
      </c>
      <c r="R10" s="9">
        <f t="shared" si="0"/>
        <v>6.1303936503678917</v>
      </c>
      <c r="S10" s="9">
        <f t="shared" si="0"/>
        <v>6.866040888412039</v>
      </c>
      <c r="T10" s="9">
        <f t="shared" si="0"/>
        <v>7.6899657950214841</v>
      </c>
      <c r="U10" s="9">
        <f t="shared" si="0"/>
        <v>8.6127616904240636</v>
      </c>
      <c r="V10" s="9">
        <f t="shared" si="0"/>
        <v>9.6462930932749522</v>
      </c>
      <c r="W10" s="9">
        <f t="shared" si="0"/>
        <v>10.803848264467948</v>
      </c>
      <c r="X10" s="9">
        <f t="shared" si="0"/>
        <v>12.100310056204103</v>
      </c>
      <c r="Y10" s="9">
        <f t="shared" si="0"/>
        <v>13.552347262948597</v>
      </c>
      <c r="Z10" s="9">
        <f t="shared" si="0"/>
        <v>15.178628934502431</v>
      </c>
      <c r="AA10" s="9">
        <f t="shared" si="0"/>
        <v>17.000064406642725</v>
      </c>
      <c r="AB10" s="9">
        <f t="shared" si="0"/>
        <v>19.040072135439853</v>
      </c>
      <c r="AC10" s="9">
        <f t="shared" si="0"/>
        <v>21.324880791692639</v>
      </c>
    </row>
    <row r="11" spans="1:29" x14ac:dyDescent="0.15">
      <c r="A11" s="2" t="s">
        <v>17</v>
      </c>
      <c r="B11" s="1">
        <v>1</v>
      </c>
      <c r="C11" s="9">
        <f t="shared" si="1"/>
        <v>1.1200000000000001</v>
      </c>
      <c r="D11" s="9">
        <f t="shared" si="0"/>
        <v>1.2544000000000002</v>
      </c>
      <c r="E11" s="9">
        <f t="shared" si="0"/>
        <v>1.4049280000000004</v>
      </c>
      <c r="F11" s="9">
        <f t="shared" si="0"/>
        <v>1.5735193600000006</v>
      </c>
      <c r="G11" s="9">
        <f t="shared" si="0"/>
        <v>1.7623416832000007</v>
      </c>
      <c r="H11" s="9">
        <f t="shared" si="0"/>
        <v>1.9738226851840011</v>
      </c>
      <c r="I11" s="9">
        <f t="shared" si="0"/>
        <v>2.2106814074060814</v>
      </c>
      <c r="J11" s="9">
        <f t="shared" si="0"/>
        <v>2.4759631762948113</v>
      </c>
      <c r="K11" s="9">
        <f t="shared" si="0"/>
        <v>2.7730787574501892</v>
      </c>
      <c r="L11" s="9">
        <f t="shared" si="0"/>
        <v>3.105848208344212</v>
      </c>
      <c r="M11" s="9">
        <f t="shared" si="0"/>
        <v>3.478549993345518</v>
      </c>
      <c r="N11" s="9">
        <f t="shared" si="0"/>
        <v>3.8959759925469806</v>
      </c>
      <c r="O11" s="9">
        <f t="shared" si="0"/>
        <v>4.3634931116526188</v>
      </c>
      <c r="P11" s="9">
        <f t="shared" si="0"/>
        <v>4.8871122850509332</v>
      </c>
      <c r="Q11" s="9">
        <f t="shared" si="0"/>
        <v>5.4735657592570455</v>
      </c>
      <c r="R11" s="9">
        <f t="shared" si="0"/>
        <v>6.1303936503678917</v>
      </c>
      <c r="S11" s="9">
        <f t="shared" si="0"/>
        <v>6.866040888412039</v>
      </c>
      <c r="T11" s="9">
        <f t="shared" si="0"/>
        <v>7.6899657950214841</v>
      </c>
      <c r="U11" s="9">
        <f t="shared" si="0"/>
        <v>8.6127616904240636</v>
      </c>
      <c r="V11" s="9">
        <f t="shared" si="0"/>
        <v>9.6462930932749522</v>
      </c>
      <c r="W11" s="9">
        <f t="shared" si="0"/>
        <v>10.803848264467948</v>
      </c>
      <c r="X11" s="9">
        <f t="shared" si="0"/>
        <v>12.100310056204103</v>
      </c>
      <c r="Y11" s="9">
        <f t="shared" si="0"/>
        <v>13.552347262948597</v>
      </c>
      <c r="Z11" s="9">
        <f t="shared" si="0"/>
        <v>15.178628934502431</v>
      </c>
      <c r="AA11" s="9">
        <f t="shared" si="0"/>
        <v>17.000064406642725</v>
      </c>
      <c r="AB11" s="9">
        <f t="shared" si="0"/>
        <v>19.040072135439853</v>
      </c>
      <c r="AC11" s="9">
        <f t="shared" si="0"/>
        <v>21.324880791692639</v>
      </c>
    </row>
    <row r="12" spans="1:29" x14ac:dyDescent="0.15">
      <c r="A12" s="2" t="s">
        <v>31</v>
      </c>
      <c r="B12" s="1">
        <v>1</v>
      </c>
      <c r="C12" s="9">
        <f t="shared" si="1"/>
        <v>1.1200000000000001</v>
      </c>
      <c r="D12" s="9">
        <f t="shared" si="0"/>
        <v>1.2544000000000002</v>
      </c>
      <c r="E12" s="9">
        <f t="shared" si="0"/>
        <v>1.4049280000000004</v>
      </c>
      <c r="F12" s="9">
        <f t="shared" si="0"/>
        <v>1.5735193600000006</v>
      </c>
      <c r="G12" s="9">
        <f t="shared" si="0"/>
        <v>1.7623416832000007</v>
      </c>
      <c r="H12" s="9">
        <f t="shared" si="0"/>
        <v>1.9738226851840011</v>
      </c>
      <c r="I12" s="9">
        <f t="shared" si="0"/>
        <v>2.2106814074060814</v>
      </c>
      <c r="J12" s="9">
        <f t="shared" si="0"/>
        <v>2.4759631762948113</v>
      </c>
      <c r="K12" s="9">
        <f t="shared" si="0"/>
        <v>2.7730787574501892</v>
      </c>
      <c r="L12" s="9">
        <f t="shared" si="0"/>
        <v>3.105848208344212</v>
      </c>
      <c r="M12" s="9">
        <f t="shared" si="0"/>
        <v>3.478549993345518</v>
      </c>
      <c r="N12" s="9">
        <f t="shared" ref="D12:AC22" si="2">M12*1.12</f>
        <v>3.8959759925469806</v>
      </c>
      <c r="O12" s="9">
        <f t="shared" si="2"/>
        <v>4.3634931116526188</v>
      </c>
      <c r="P12" s="9">
        <f t="shared" si="2"/>
        <v>4.8871122850509332</v>
      </c>
      <c r="Q12" s="9">
        <f t="shared" si="2"/>
        <v>5.4735657592570455</v>
      </c>
      <c r="R12" s="9">
        <f t="shared" si="2"/>
        <v>6.1303936503678917</v>
      </c>
      <c r="S12" s="9">
        <f t="shared" si="2"/>
        <v>6.866040888412039</v>
      </c>
      <c r="T12" s="9">
        <f t="shared" si="2"/>
        <v>7.6899657950214841</v>
      </c>
      <c r="U12" s="9">
        <f t="shared" si="2"/>
        <v>8.6127616904240636</v>
      </c>
      <c r="V12" s="9">
        <f t="shared" si="2"/>
        <v>9.6462930932749522</v>
      </c>
      <c r="W12" s="9">
        <f t="shared" si="2"/>
        <v>10.803848264467948</v>
      </c>
      <c r="X12" s="9">
        <f t="shared" si="2"/>
        <v>12.100310056204103</v>
      </c>
      <c r="Y12" s="9">
        <f t="shared" si="2"/>
        <v>13.552347262948597</v>
      </c>
      <c r="Z12" s="9">
        <f t="shared" si="2"/>
        <v>15.178628934502431</v>
      </c>
      <c r="AA12" s="9">
        <f t="shared" si="2"/>
        <v>17.000064406642725</v>
      </c>
      <c r="AB12" s="9">
        <f t="shared" si="2"/>
        <v>19.040072135439853</v>
      </c>
      <c r="AC12" s="9">
        <f t="shared" si="2"/>
        <v>21.324880791692639</v>
      </c>
    </row>
    <row r="13" spans="1:29" x14ac:dyDescent="0.15">
      <c r="A13" s="2" t="s">
        <v>0</v>
      </c>
      <c r="B13" s="1">
        <v>1</v>
      </c>
      <c r="C13" s="9">
        <f t="shared" si="1"/>
        <v>1.1200000000000001</v>
      </c>
      <c r="D13" s="9">
        <f t="shared" si="2"/>
        <v>1.2544000000000002</v>
      </c>
      <c r="E13" s="9">
        <f t="shared" si="2"/>
        <v>1.4049280000000004</v>
      </c>
      <c r="F13" s="9">
        <f t="shared" si="2"/>
        <v>1.5735193600000006</v>
      </c>
      <c r="G13" s="9">
        <f t="shared" si="2"/>
        <v>1.7623416832000007</v>
      </c>
      <c r="H13" s="9">
        <f t="shared" si="2"/>
        <v>1.9738226851840011</v>
      </c>
      <c r="I13" s="9">
        <f t="shared" si="2"/>
        <v>2.2106814074060814</v>
      </c>
      <c r="J13" s="9">
        <f t="shared" si="2"/>
        <v>2.4759631762948113</v>
      </c>
      <c r="K13" s="9">
        <f t="shared" si="2"/>
        <v>2.7730787574501892</v>
      </c>
      <c r="L13" s="9">
        <f t="shared" si="2"/>
        <v>3.105848208344212</v>
      </c>
      <c r="M13" s="9">
        <f t="shared" si="2"/>
        <v>3.478549993345518</v>
      </c>
      <c r="N13" s="9">
        <f t="shared" si="2"/>
        <v>3.8959759925469806</v>
      </c>
      <c r="O13" s="9">
        <f t="shared" si="2"/>
        <v>4.3634931116526188</v>
      </c>
      <c r="P13" s="9">
        <f t="shared" si="2"/>
        <v>4.8871122850509332</v>
      </c>
      <c r="Q13" s="9">
        <f t="shared" si="2"/>
        <v>5.4735657592570455</v>
      </c>
      <c r="R13" s="9">
        <f t="shared" si="2"/>
        <v>6.1303936503678917</v>
      </c>
      <c r="S13" s="9">
        <f t="shared" si="2"/>
        <v>6.866040888412039</v>
      </c>
      <c r="T13" s="9">
        <f t="shared" si="2"/>
        <v>7.6899657950214841</v>
      </c>
      <c r="U13" s="9">
        <f t="shared" si="2"/>
        <v>8.6127616904240636</v>
      </c>
      <c r="V13" s="9">
        <f t="shared" si="2"/>
        <v>9.6462930932749522</v>
      </c>
      <c r="W13" s="9">
        <f t="shared" si="2"/>
        <v>10.803848264467948</v>
      </c>
      <c r="X13" s="9">
        <f t="shared" si="2"/>
        <v>12.100310056204103</v>
      </c>
      <c r="Y13" s="9">
        <f t="shared" si="2"/>
        <v>13.552347262948597</v>
      </c>
      <c r="Z13" s="9">
        <f t="shared" si="2"/>
        <v>15.178628934502431</v>
      </c>
      <c r="AA13" s="9">
        <f t="shared" si="2"/>
        <v>17.000064406642725</v>
      </c>
      <c r="AB13" s="9">
        <f t="shared" si="2"/>
        <v>19.040072135439853</v>
      </c>
      <c r="AC13" s="9">
        <f t="shared" si="2"/>
        <v>21.324880791692639</v>
      </c>
    </row>
    <row r="14" spans="1:29" x14ac:dyDescent="0.15">
      <c r="A14" s="2" t="s">
        <v>6</v>
      </c>
      <c r="B14" s="1">
        <v>1</v>
      </c>
      <c r="C14" s="9">
        <f t="shared" si="1"/>
        <v>1.1200000000000001</v>
      </c>
      <c r="D14" s="9">
        <f t="shared" si="2"/>
        <v>1.2544000000000002</v>
      </c>
      <c r="E14" s="9">
        <f t="shared" si="2"/>
        <v>1.4049280000000004</v>
      </c>
      <c r="F14" s="9">
        <f t="shared" si="2"/>
        <v>1.5735193600000006</v>
      </c>
      <c r="G14" s="9">
        <f t="shared" si="2"/>
        <v>1.7623416832000007</v>
      </c>
      <c r="H14" s="9">
        <f t="shared" si="2"/>
        <v>1.9738226851840011</v>
      </c>
      <c r="I14" s="9">
        <f t="shared" si="2"/>
        <v>2.2106814074060814</v>
      </c>
      <c r="J14" s="9">
        <f t="shared" si="2"/>
        <v>2.4759631762948113</v>
      </c>
      <c r="K14" s="9">
        <f t="shared" si="2"/>
        <v>2.7730787574501892</v>
      </c>
      <c r="L14" s="9">
        <f t="shared" si="2"/>
        <v>3.105848208344212</v>
      </c>
      <c r="M14" s="9">
        <f t="shared" si="2"/>
        <v>3.478549993345518</v>
      </c>
      <c r="N14" s="9">
        <f t="shared" si="2"/>
        <v>3.8959759925469806</v>
      </c>
      <c r="O14" s="9">
        <f t="shared" si="2"/>
        <v>4.3634931116526188</v>
      </c>
      <c r="P14" s="9">
        <f t="shared" si="2"/>
        <v>4.8871122850509332</v>
      </c>
      <c r="Q14" s="9">
        <f t="shared" si="2"/>
        <v>5.4735657592570455</v>
      </c>
      <c r="R14" s="9">
        <f t="shared" si="2"/>
        <v>6.1303936503678917</v>
      </c>
      <c r="S14" s="9">
        <f t="shared" si="2"/>
        <v>6.866040888412039</v>
      </c>
      <c r="T14" s="9">
        <f t="shared" si="2"/>
        <v>7.6899657950214841</v>
      </c>
      <c r="U14" s="9">
        <f t="shared" si="2"/>
        <v>8.6127616904240636</v>
      </c>
      <c r="V14" s="9">
        <f t="shared" si="2"/>
        <v>9.6462930932749522</v>
      </c>
      <c r="W14" s="9">
        <f t="shared" si="2"/>
        <v>10.803848264467948</v>
      </c>
      <c r="X14" s="9">
        <f t="shared" si="2"/>
        <v>12.100310056204103</v>
      </c>
      <c r="Y14" s="9">
        <f t="shared" si="2"/>
        <v>13.552347262948597</v>
      </c>
      <c r="Z14" s="9">
        <f t="shared" si="2"/>
        <v>15.178628934502431</v>
      </c>
      <c r="AA14" s="9">
        <f t="shared" si="2"/>
        <v>17.000064406642725</v>
      </c>
      <c r="AB14" s="9">
        <f t="shared" si="2"/>
        <v>19.040072135439853</v>
      </c>
      <c r="AC14" s="9">
        <f t="shared" si="2"/>
        <v>21.324880791692639</v>
      </c>
    </row>
    <row r="15" spans="1:29" x14ac:dyDescent="0.15">
      <c r="A15" s="2" t="s">
        <v>18</v>
      </c>
      <c r="B15" s="1">
        <v>1</v>
      </c>
      <c r="C15" s="9">
        <f t="shared" si="1"/>
        <v>1.1200000000000001</v>
      </c>
      <c r="D15" s="9">
        <f t="shared" si="2"/>
        <v>1.2544000000000002</v>
      </c>
      <c r="E15" s="9">
        <f t="shared" si="2"/>
        <v>1.4049280000000004</v>
      </c>
      <c r="F15" s="9">
        <f t="shared" si="2"/>
        <v>1.5735193600000006</v>
      </c>
      <c r="G15" s="9">
        <f t="shared" si="2"/>
        <v>1.7623416832000007</v>
      </c>
      <c r="H15" s="9">
        <f t="shared" si="2"/>
        <v>1.9738226851840011</v>
      </c>
      <c r="I15" s="9">
        <f t="shared" si="2"/>
        <v>2.2106814074060814</v>
      </c>
      <c r="J15" s="9">
        <f t="shared" si="2"/>
        <v>2.4759631762948113</v>
      </c>
      <c r="K15" s="9">
        <f t="shared" si="2"/>
        <v>2.7730787574501892</v>
      </c>
      <c r="L15" s="9">
        <f t="shared" si="2"/>
        <v>3.105848208344212</v>
      </c>
      <c r="M15" s="9">
        <f t="shared" si="2"/>
        <v>3.478549993345518</v>
      </c>
      <c r="N15" s="9">
        <f t="shared" si="2"/>
        <v>3.8959759925469806</v>
      </c>
      <c r="O15" s="9">
        <f t="shared" si="2"/>
        <v>4.3634931116526188</v>
      </c>
      <c r="P15" s="9">
        <f t="shared" si="2"/>
        <v>4.8871122850509332</v>
      </c>
      <c r="Q15" s="9">
        <f t="shared" si="2"/>
        <v>5.4735657592570455</v>
      </c>
      <c r="R15" s="9">
        <f t="shared" si="2"/>
        <v>6.1303936503678917</v>
      </c>
      <c r="S15" s="9">
        <f t="shared" si="2"/>
        <v>6.866040888412039</v>
      </c>
      <c r="T15" s="9">
        <f t="shared" si="2"/>
        <v>7.6899657950214841</v>
      </c>
      <c r="U15" s="9">
        <f t="shared" si="2"/>
        <v>8.6127616904240636</v>
      </c>
      <c r="V15" s="9">
        <f t="shared" si="2"/>
        <v>9.6462930932749522</v>
      </c>
      <c r="W15" s="9">
        <f t="shared" si="2"/>
        <v>10.803848264467948</v>
      </c>
      <c r="X15" s="9">
        <f t="shared" si="2"/>
        <v>12.100310056204103</v>
      </c>
      <c r="Y15" s="9">
        <f t="shared" si="2"/>
        <v>13.552347262948597</v>
      </c>
      <c r="Z15" s="9">
        <f t="shared" si="2"/>
        <v>15.178628934502431</v>
      </c>
      <c r="AA15" s="9">
        <f t="shared" si="2"/>
        <v>17.000064406642725</v>
      </c>
      <c r="AB15" s="9">
        <f t="shared" si="2"/>
        <v>19.040072135439853</v>
      </c>
      <c r="AC15" s="9">
        <f t="shared" si="2"/>
        <v>21.324880791692639</v>
      </c>
    </row>
    <row r="16" spans="1:29" x14ac:dyDescent="0.15">
      <c r="A16" s="2" t="s">
        <v>24</v>
      </c>
      <c r="B16" s="1">
        <v>1</v>
      </c>
      <c r="C16" s="9">
        <f t="shared" si="1"/>
        <v>1.1200000000000001</v>
      </c>
      <c r="D16" s="9">
        <f t="shared" si="2"/>
        <v>1.2544000000000002</v>
      </c>
      <c r="E16" s="9">
        <f t="shared" si="2"/>
        <v>1.4049280000000004</v>
      </c>
      <c r="F16" s="9">
        <f t="shared" si="2"/>
        <v>1.5735193600000006</v>
      </c>
      <c r="G16" s="9">
        <f t="shared" si="2"/>
        <v>1.7623416832000007</v>
      </c>
      <c r="H16" s="9">
        <f t="shared" si="2"/>
        <v>1.9738226851840011</v>
      </c>
      <c r="I16" s="9">
        <f t="shared" si="2"/>
        <v>2.2106814074060814</v>
      </c>
      <c r="J16" s="9">
        <f t="shared" si="2"/>
        <v>2.4759631762948113</v>
      </c>
      <c r="K16" s="9">
        <f t="shared" si="2"/>
        <v>2.7730787574501892</v>
      </c>
      <c r="L16" s="9">
        <f t="shared" si="2"/>
        <v>3.105848208344212</v>
      </c>
      <c r="M16" s="9">
        <f t="shared" si="2"/>
        <v>3.478549993345518</v>
      </c>
      <c r="N16" s="9">
        <f t="shared" si="2"/>
        <v>3.8959759925469806</v>
      </c>
      <c r="O16" s="9">
        <f t="shared" si="2"/>
        <v>4.3634931116526188</v>
      </c>
      <c r="P16" s="9">
        <f t="shared" si="2"/>
        <v>4.8871122850509332</v>
      </c>
      <c r="Q16" s="9">
        <f t="shared" si="2"/>
        <v>5.4735657592570455</v>
      </c>
      <c r="R16" s="9">
        <f t="shared" si="2"/>
        <v>6.1303936503678917</v>
      </c>
      <c r="S16" s="9">
        <f t="shared" si="2"/>
        <v>6.866040888412039</v>
      </c>
      <c r="T16" s="9">
        <f t="shared" si="2"/>
        <v>7.6899657950214841</v>
      </c>
      <c r="U16" s="9">
        <f t="shared" si="2"/>
        <v>8.6127616904240636</v>
      </c>
      <c r="V16" s="9">
        <f t="shared" si="2"/>
        <v>9.6462930932749522</v>
      </c>
      <c r="W16" s="9">
        <f t="shared" si="2"/>
        <v>10.803848264467948</v>
      </c>
      <c r="X16" s="9">
        <f t="shared" si="2"/>
        <v>12.100310056204103</v>
      </c>
      <c r="Y16" s="9">
        <f t="shared" si="2"/>
        <v>13.552347262948597</v>
      </c>
      <c r="Z16" s="9">
        <f t="shared" si="2"/>
        <v>15.178628934502431</v>
      </c>
      <c r="AA16" s="9">
        <f t="shared" si="2"/>
        <v>17.000064406642725</v>
      </c>
      <c r="AB16" s="9">
        <f t="shared" si="2"/>
        <v>19.040072135439853</v>
      </c>
      <c r="AC16" s="9">
        <f t="shared" si="2"/>
        <v>21.324880791692639</v>
      </c>
    </row>
    <row r="17" spans="1:29" x14ac:dyDescent="0.15">
      <c r="A17" s="2" t="s">
        <v>14</v>
      </c>
      <c r="B17" s="1">
        <v>1</v>
      </c>
      <c r="C17" s="9">
        <f t="shared" si="1"/>
        <v>1.1200000000000001</v>
      </c>
      <c r="D17" s="9">
        <f t="shared" si="2"/>
        <v>1.2544000000000002</v>
      </c>
      <c r="E17" s="9">
        <f t="shared" si="2"/>
        <v>1.4049280000000004</v>
      </c>
      <c r="F17" s="9">
        <f t="shared" si="2"/>
        <v>1.5735193600000006</v>
      </c>
      <c r="G17" s="9">
        <f t="shared" si="2"/>
        <v>1.7623416832000007</v>
      </c>
      <c r="H17" s="9">
        <f t="shared" si="2"/>
        <v>1.9738226851840011</v>
      </c>
      <c r="I17" s="9">
        <f t="shared" si="2"/>
        <v>2.2106814074060814</v>
      </c>
      <c r="J17" s="9">
        <f t="shared" si="2"/>
        <v>2.4759631762948113</v>
      </c>
      <c r="K17" s="9">
        <f t="shared" si="2"/>
        <v>2.7730787574501892</v>
      </c>
      <c r="L17" s="9">
        <f t="shared" si="2"/>
        <v>3.105848208344212</v>
      </c>
      <c r="M17" s="9">
        <f t="shared" si="2"/>
        <v>3.478549993345518</v>
      </c>
      <c r="N17" s="9">
        <f t="shared" si="2"/>
        <v>3.8959759925469806</v>
      </c>
      <c r="O17" s="9">
        <f t="shared" si="2"/>
        <v>4.3634931116526188</v>
      </c>
      <c r="P17" s="9">
        <f t="shared" si="2"/>
        <v>4.8871122850509332</v>
      </c>
      <c r="Q17" s="9">
        <f t="shared" si="2"/>
        <v>5.4735657592570455</v>
      </c>
      <c r="R17" s="9">
        <f t="shared" si="2"/>
        <v>6.1303936503678917</v>
      </c>
      <c r="S17" s="9">
        <f t="shared" si="2"/>
        <v>6.866040888412039</v>
      </c>
      <c r="T17" s="9">
        <f t="shared" si="2"/>
        <v>7.6899657950214841</v>
      </c>
      <c r="U17" s="9">
        <f t="shared" si="2"/>
        <v>8.6127616904240636</v>
      </c>
      <c r="V17" s="9">
        <f t="shared" si="2"/>
        <v>9.6462930932749522</v>
      </c>
      <c r="W17" s="9">
        <f t="shared" si="2"/>
        <v>10.803848264467948</v>
      </c>
      <c r="X17" s="9">
        <f t="shared" si="2"/>
        <v>12.100310056204103</v>
      </c>
      <c r="Y17" s="9">
        <f t="shared" si="2"/>
        <v>13.552347262948597</v>
      </c>
      <c r="Z17" s="9">
        <f t="shared" si="2"/>
        <v>15.178628934502431</v>
      </c>
      <c r="AA17" s="9">
        <f t="shared" si="2"/>
        <v>17.000064406642725</v>
      </c>
      <c r="AB17" s="9">
        <f t="shared" si="2"/>
        <v>19.040072135439853</v>
      </c>
      <c r="AC17" s="9">
        <f t="shared" si="2"/>
        <v>21.324880791692639</v>
      </c>
    </row>
    <row r="18" spans="1:29" x14ac:dyDescent="0.15">
      <c r="A18" s="2" t="s">
        <v>15</v>
      </c>
      <c r="B18" s="1">
        <v>1</v>
      </c>
      <c r="C18" s="9">
        <f t="shared" si="1"/>
        <v>1.1200000000000001</v>
      </c>
      <c r="D18" s="9">
        <f t="shared" si="2"/>
        <v>1.2544000000000002</v>
      </c>
      <c r="E18" s="9">
        <f t="shared" si="2"/>
        <v>1.4049280000000004</v>
      </c>
      <c r="F18" s="9">
        <f t="shared" si="2"/>
        <v>1.5735193600000006</v>
      </c>
      <c r="G18" s="9">
        <f t="shared" si="2"/>
        <v>1.7623416832000007</v>
      </c>
      <c r="H18" s="9">
        <f t="shared" si="2"/>
        <v>1.9738226851840011</v>
      </c>
      <c r="I18" s="9">
        <f t="shared" si="2"/>
        <v>2.2106814074060814</v>
      </c>
      <c r="J18" s="9">
        <f t="shared" si="2"/>
        <v>2.4759631762948113</v>
      </c>
      <c r="K18" s="9">
        <f t="shared" si="2"/>
        <v>2.7730787574501892</v>
      </c>
      <c r="L18" s="9">
        <f t="shared" si="2"/>
        <v>3.105848208344212</v>
      </c>
      <c r="M18" s="9">
        <f t="shared" si="2"/>
        <v>3.478549993345518</v>
      </c>
      <c r="N18" s="9">
        <f t="shared" si="2"/>
        <v>3.8959759925469806</v>
      </c>
      <c r="O18" s="9">
        <f t="shared" si="2"/>
        <v>4.3634931116526188</v>
      </c>
      <c r="P18" s="9">
        <f t="shared" si="2"/>
        <v>4.8871122850509332</v>
      </c>
      <c r="Q18" s="9">
        <f t="shared" si="2"/>
        <v>5.4735657592570455</v>
      </c>
      <c r="R18" s="9">
        <f t="shared" si="2"/>
        <v>6.1303936503678917</v>
      </c>
      <c r="S18" s="9">
        <f t="shared" si="2"/>
        <v>6.866040888412039</v>
      </c>
      <c r="T18" s="9">
        <f t="shared" si="2"/>
        <v>7.6899657950214841</v>
      </c>
      <c r="U18" s="9">
        <f t="shared" si="2"/>
        <v>8.6127616904240636</v>
      </c>
      <c r="V18" s="9">
        <f t="shared" si="2"/>
        <v>9.6462930932749522</v>
      </c>
      <c r="W18" s="9">
        <f t="shared" si="2"/>
        <v>10.803848264467948</v>
      </c>
      <c r="X18" s="9">
        <f t="shared" si="2"/>
        <v>12.100310056204103</v>
      </c>
      <c r="Y18" s="9">
        <f t="shared" si="2"/>
        <v>13.552347262948597</v>
      </c>
      <c r="Z18" s="9">
        <f t="shared" si="2"/>
        <v>15.178628934502431</v>
      </c>
      <c r="AA18" s="9">
        <f t="shared" si="2"/>
        <v>17.000064406642725</v>
      </c>
      <c r="AB18" s="9">
        <f t="shared" si="2"/>
        <v>19.040072135439853</v>
      </c>
      <c r="AC18" s="9">
        <f t="shared" si="2"/>
        <v>21.324880791692639</v>
      </c>
    </row>
    <row r="19" spans="1:29" x14ac:dyDescent="0.15">
      <c r="A19" s="2" t="s">
        <v>16</v>
      </c>
      <c r="B19" s="1">
        <v>1</v>
      </c>
      <c r="C19" s="9">
        <f t="shared" si="1"/>
        <v>1.1200000000000001</v>
      </c>
      <c r="D19" s="9">
        <f t="shared" si="2"/>
        <v>1.2544000000000002</v>
      </c>
      <c r="E19" s="9">
        <f t="shared" si="2"/>
        <v>1.4049280000000004</v>
      </c>
      <c r="F19" s="9">
        <f t="shared" si="2"/>
        <v>1.5735193600000006</v>
      </c>
      <c r="G19" s="9">
        <f t="shared" si="2"/>
        <v>1.7623416832000007</v>
      </c>
      <c r="H19" s="9">
        <f t="shared" si="2"/>
        <v>1.9738226851840011</v>
      </c>
      <c r="I19" s="9">
        <f t="shared" si="2"/>
        <v>2.2106814074060814</v>
      </c>
      <c r="J19" s="9">
        <f t="shared" si="2"/>
        <v>2.4759631762948113</v>
      </c>
      <c r="K19" s="9">
        <f t="shared" si="2"/>
        <v>2.7730787574501892</v>
      </c>
      <c r="L19" s="9">
        <f t="shared" si="2"/>
        <v>3.105848208344212</v>
      </c>
      <c r="M19" s="9">
        <f t="shared" si="2"/>
        <v>3.478549993345518</v>
      </c>
      <c r="N19" s="9">
        <f t="shared" si="2"/>
        <v>3.8959759925469806</v>
      </c>
      <c r="O19" s="9">
        <f t="shared" si="2"/>
        <v>4.3634931116526188</v>
      </c>
      <c r="P19" s="9">
        <f t="shared" si="2"/>
        <v>4.8871122850509332</v>
      </c>
      <c r="Q19" s="9">
        <f t="shared" si="2"/>
        <v>5.4735657592570455</v>
      </c>
      <c r="R19" s="9">
        <f t="shared" si="2"/>
        <v>6.1303936503678917</v>
      </c>
      <c r="S19" s="9">
        <f t="shared" si="2"/>
        <v>6.866040888412039</v>
      </c>
      <c r="T19" s="9">
        <f t="shared" si="2"/>
        <v>7.6899657950214841</v>
      </c>
      <c r="U19" s="9">
        <f t="shared" si="2"/>
        <v>8.6127616904240636</v>
      </c>
      <c r="V19" s="9">
        <f t="shared" si="2"/>
        <v>9.6462930932749522</v>
      </c>
      <c r="W19" s="9">
        <f t="shared" si="2"/>
        <v>10.803848264467948</v>
      </c>
      <c r="X19" s="9">
        <f t="shared" si="2"/>
        <v>12.100310056204103</v>
      </c>
      <c r="Y19" s="9">
        <f t="shared" si="2"/>
        <v>13.552347262948597</v>
      </c>
      <c r="Z19" s="9">
        <f t="shared" si="2"/>
        <v>15.178628934502431</v>
      </c>
      <c r="AA19" s="9">
        <f t="shared" si="2"/>
        <v>17.000064406642725</v>
      </c>
      <c r="AB19" s="9">
        <f t="shared" si="2"/>
        <v>19.040072135439853</v>
      </c>
      <c r="AC19" s="9">
        <f t="shared" si="2"/>
        <v>21.324880791692639</v>
      </c>
    </row>
    <row r="20" spans="1:29" ht="15" x14ac:dyDescent="0.25">
      <c r="A20" s="6" t="s">
        <v>8</v>
      </c>
      <c r="B20" s="1">
        <v>1</v>
      </c>
      <c r="C20" s="9">
        <f t="shared" si="1"/>
        <v>1.1200000000000001</v>
      </c>
      <c r="D20" s="9">
        <f t="shared" si="2"/>
        <v>1.2544000000000002</v>
      </c>
      <c r="E20" s="9">
        <f t="shared" si="2"/>
        <v>1.4049280000000004</v>
      </c>
      <c r="F20" s="9">
        <f t="shared" si="2"/>
        <v>1.5735193600000006</v>
      </c>
      <c r="G20" s="9">
        <f t="shared" si="2"/>
        <v>1.7623416832000007</v>
      </c>
      <c r="H20" s="9">
        <f t="shared" si="2"/>
        <v>1.9738226851840011</v>
      </c>
      <c r="I20" s="9">
        <f t="shared" si="2"/>
        <v>2.2106814074060814</v>
      </c>
      <c r="J20" s="9">
        <f t="shared" si="2"/>
        <v>2.4759631762948113</v>
      </c>
      <c r="K20" s="9">
        <f t="shared" si="2"/>
        <v>2.7730787574501892</v>
      </c>
      <c r="L20" s="9">
        <f t="shared" si="2"/>
        <v>3.105848208344212</v>
      </c>
      <c r="M20" s="9">
        <f t="shared" si="2"/>
        <v>3.478549993345518</v>
      </c>
      <c r="N20" s="9">
        <f t="shared" si="2"/>
        <v>3.8959759925469806</v>
      </c>
      <c r="O20" s="9">
        <f t="shared" si="2"/>
        <v>4.3634931116526188</v>
      </c>
      <c r="P20" s="9">
        <f t="shared" si="2"/>
        <v>4.8871122850509332</v>
      </c>
      <c r="Q20" s="9">
        <f t="shared" si="2"/>
        <v>5.4735657592570455</v>
      </c>
      <c r="R20" s="9">
        <f t="shared" si="2"/>
        <v>6.1303936503678917</v>
      </c>
      <c r="S20" s="9">
        <f t="shared" si="2"/>
        <v>6.866040888412039</v>
      </c>
      <c r="T20" s="9">
        <f t="shared" si="2"/>
        <v>7.6899657950214841</v>
      </c>
      <c r="U20" s="9">
        <f t="shared" si="2"/>
        <v>8.6127616904240636</v>
      </c>
      <c r="V20" s="9">
        <f t="shared" si="2"/>
        <v>9.6462930932749522</v>
      </c>
      <c r="W20" s="9">
        <f t="shared" si="2"/>
        <v>10.803848264467948</v>
      </c>
      <c r="X20" s="9">
        <f t="shared" si="2"/>
        <v>12.100310056204103</v>
      </c>
      <c r="Y20" s="9">
        <f t="shared" si="2"/>
        <v>13.552347262948597</v>
      </c>
      <c r="Z20" s="9">
        <f t="shared" si="2"/>
        <v>15.178628934502431</v>
      </c>
      <c r="AA20" s="9">
        <f t="shared" si="2"/>
        <v>17.000064406642725</v>
      </c>
      <c r="AB20" s="9">
        <f t="shared" si="2"/>
        <v>19.040072135439853</v>
      </c>
      <c r="AC20" s="9">
        <f t="shared" si="2"/>
        <v>21.324880791692639</v>
      </c>
    </row>
    <row r="21" spans="1:29" x14ac:dyDescent="0.15">
      <c r="A21" s="2" t="s">
        <v>9</v>
      </c>
      <c r="B21" s="1">
        <v>1</v>
      </c>
      <c r="C21" s="9">
        <f t="shared" si="1"/>
        <v>1.1200000000000001</v>
      </c>
      <c r="D21" s="9">
        <f t="shared" si="2"/>
        <v>1.2544000000000002</v>
      </c>
      <c r="E21" s="9">
        <f t="shared" si="2"/>
        <v>1.4049280000000004</v>
      </c>
      <c r="F21" s="9">
        <f t="shared" si="2"/>
        <v>1.5735193600000006</v>
      </c>
      <c r="G21" s="9">
        <f t="shared" si="2"/>
        <v>1.7623416832000007</v>
      </c>
      <c r="H21" s="9">
        <f t="shared" si="2"/>
        <v>1.9738226851840011</v>
      </c>
      <c r="I21" s="9">
        <f t="shared" si="2"/>
        <v>2.2106814074060814</v>
      </c>
      <c r="J21" s="9">
        <f t="shared" si="2"/>
        <v>2.4759631762948113</v>
      </c>
      <c r="K21" s="9">
        <f t="shared" si="2"/>
        <v>2.7730787574501892</v>
      </c>
      <c r="L21" s="9">
        <f t="shared" si="2"/>
        <v>3.105848208344212</v>
      </c>
      <c r="M21" s="9">
        <f t="shared" si="2"/>
        <v>3.478549993345518</v>
      </c>
      <c r="N21" s="9">
        <f t="shared" si="2"/>
        <v>3.8959759925469806</v>
      </c>
      <c r="O21" s="9">
        <f t="shared" si="2"/>
        <v>4.3634931116526188</v>
      </c>
      <c r="P21" s="9">
        <f t="shared" si="2"/>
        <v>4.8871122850509332</v>
      </c>
      <c r="Q21" s="9">
        <f t="shared" si="2"/>
        <v>5.4735657592570455</v>
      </c>
      <c r="R21" s="9">
        <f t="shared" si="2"/>
        <v>6.1303936503678917</v>
      </c>
      <c r="S21" s="9">
        <f t="shared" si="2"/>
        <v>6.866040888412039</v>
      </c>
      <c r="T21" s="9">
        <f t="shared" si="2"/>
        <v>7.6899657950214841</v>
      </c>
      <c r="U21" s="9">
        <f t="shared" si="2"/>
        <v>8.6127616904240636</v>
      </c>
      <c r="V21" s="9">
        <f t="shared" si="2"/>
        <v>9.6462930932749522</v>
      </c>
      <c r="W21" s="9">
        <f t="shared" si="2"/>
        <v>10.803848264467948</v>
      </c>
      <c r="X21" s="9">
        <f t="shared" si="2"/>
        <v>12.100310056204103</v>
      </c>
      <c r="Y21" s="9">
        <f t="shared" si="2"/>
        <v>13.552347262948597</v>
      </c>
      <c r="Z21" s="9">
        <f t="shared" si="2"/>
        <v>15.178628934502431</v>
      </c>
      <c r="AA21" s="9">
        <f t="shared" si="2"/>
        <v>17.000064406642725</v>
      </c>
      <c r="AB21" s="9">
        <f t="shared" si="2"/>
        <v>19.040072135439853</v>
      </c>
      <c r="AC21" s="9">
        <f t="shared" si="2"/>
        <v>21.324880791692639</v>
      </c>
    </row>
    <row r="22" spans="1:29" x14ac:dyDescent="0.15">
      <c r="A22" s="2" t="s">
        <v>11</v>
      </c>
      <c r="B22" s="1">
        <v>1</v>
      </c>
      <c r="C22" s="9">
        <f t="shared" si="1"/>
        <v>1.1200000000000001</v>
      </c>
      <c r="D22" s="9">
        <f t="shared" si="2"/>
        <v>1.2544000000000002</v>
      </c>
      <c r="E22" s="9">
        <f t="shared" si="2"/>
        <v>1.4049280000000004</v>
      </c>
      <c r="F22" s="9">
        <f t="shared" si="2"/>
        <v>1.5735193600000006</v>
      </c>
      <c r="G22" s="9">
        <f t="shared" si="2"/>
        <v>1.7623416832000007</v>
      </c>
      <c r="H22" s="9">
        <f t="shared" si="2"/>
        <v>1.9738226851840011</v>
      </c>
      <c r="I22" s="9">
        <f t="shared" ref="D22:AC31" si="3">H22*1.12</f>
        <v>2.2106814074060814</v>
      </c>
      <c r="J22" s="9">
        <f t="shared" si="3"/>
        <v>2.4759631762948113</v>
      </c>
      <c r="K22" s="9">
        <f t="shared" si="3"/>
        <v>2.7730787574501892</v>
      </c>
      <c r="L22" s="9">
        <f t="shared" si="3"/>
        <v>3.105848208344212</v>
      </c>
      <c r="M22" s="9">
        <f t="shared" si="3"/>
        <v>3.478549993345518</v>
      </c>
      <c r="N22" s="9">
        <f t="shared" si="3"/>
        <v>3.8959759925469806</v>
      </c>
      <c r="O22" s="9">
        <f t="shared" si="3"/>
        <v>4.3634931116526188</v>
      </c>
      <c r="P22" s="9">
        <f t="shared" si="3"/>
        <v>4.8871122850509332</v>
      </c>
      <c r="Q22" s="9">
        <f t="shared" si="3"/>
        <v>5.4735657592570455</v>
      </c>
      <c r="R22" s="9">
        <f t="shared" si="3"/>
        <v>6.1303936503678917</v>
      </c>
      <c r="S22" s="9">
        <f t="shared" si="3"/>
        <v>6.866040888412039</v>
      </c>
      <c r="T22" s="9">
        <f t="shared" si="3"/>
        <v>7.6899657950214841</v>
      </c>
      <c r="U22" s="9">
        <f t="shared" si="3"/>
        <v>8.6127616904240636</v>
      </c>
      <c r="V22" s="9">
        <f t="shared" si="3"/>
        <v>9.6462930932749522</v>
      </c>
      <c r="W22" s="9">
        <f t="shared" si="3"/>
        <v>10.803848264467948</v>
      </c>
      <c r="X22" s="9">
        <f t="shared" si="3"/>
        <v>12.100310056204103</v>
      </c>
      <c r="Y22" s="9">
        <f t="shared" si="3"/>
        <v>13.552347262948597</v>
      </c>
      <c r="Z22" s="9">
        <f t="shared" si="3"/>
        <v>15.178628934502431</v>
      </c>
      <c r="AA22" s="9">
        <f t="shared" si="3"/>
        <v>17.000064406642725</v>
      </c>
      <c r="AB22" s="9">
        <f t="shared" si="3"/>
        <v>19.040072135439853</v>
      </c>
      <c r="AC22" s="9">
        <f t="shared" si="3"/>
        <v>21.324880791692639</v>
      </c>
    </row>
    <row r="23" spans="1:29" x14ac:dyDescent="0.15">
      <c r="A23" s="2" t="s">
        <v>5</v>
      </c>
      <c r="B23" s="1">
        <v>1</v>
      </c>
      <c r="C23" s="9">
        <f t="shared" si="1"/>
        <v>1.1200000000000001</v>
      </c>
      <c r="D23" s="9">
        <f t="shared" si="3"/>
        <v>1.2544000000000002</v>
      </c>
      <c r="E23" s="9">
        <f t="shared" si="3"/>
        <v>1.4049280000000004</v>
      </c>
      <c r="F23" s="9">
        <f t="shared" si="3"/>
        <v>1.5735193600000006</v>
      </c>
      <c r="G23" s="9">
        <f t="shared" si="3"/>
        <v>1.7623416832000007</v>
      </c>
      <c r="H23" s="9">
        <f t="shared" si="3"/>
        <v>1.9738226851840011</v>
      </c>
      <c r="I23" s="9">
        <f t="shared" si="3"/>
        <v>2.2106814074060814</v>
      </c>
      <c r="J23" s="9">
        <f t="shared" si="3"/>
        <v>2.4759631762948113</v>
      </c>
      <c r="K23" s="9">
        <f t="shared" si="3"/>
        <v>2.7730787574501892</v>
      </c>
      <c r="L23" s="9">
        <f t="shared" si="3"/>
        <v>3.105848208344212</v>
      </c>
      <c r="M23" s="9">
        <f t="shared" si="3"/>
        <v>3.478549993345518</v>
      </c>
      <c r="N23" s="9">
        <f t="shared" si="3"/>
        <v>3.8959759925469806</v>
      </c>
      <c r="O23" s="9">
        <f t="shared" si="3"/>
        <v>4.3634931116526188</v>
      </c>
      <c r="P23" s="9">
        <f t="shared" si="3"/>
        <v>4.8871122850509332</v>
      </c>
      <c r="Q23" s="9">
        <f t="shared" si="3"/>
        <v>5.4735657592570455</v>
      </c>
      <c r="R23" s="9">
        <f t="shared" si="3"/>
        <v>6.1303936503678917</v>
      </c>
      <c r="S23" s="9">
        <f t="shared" si="3"/>
        <v>6.866040888412039</v>
      </c>
      <c r="T23" s="9">
        <f t="shared" si="3"/>
        <v>7.6899657950214841</v>
      </c>
      <c r="U23" s="9">
        <f t="shared" si="3"/>
        <v>8.6127616904240636</v>
      </c>
      <c r="V23" s="9">
        <f t="shared" si="3"/>
        <v>9.6462930932749522</v>
      </c>
      <c r="W23" s="9">
        <f t="shared" si="3"/>
        <v>10.803848264467948</v>
      </c>
      <c r="X23" s="9">
        <f t="shared" si="3"/>
        <v>12.100310056204103</v>
      </c>
      <c r="Y23" s="9">
        <f t="shared" si="3"/>
        <v>13.552347262948597</v>
      </c>
      <c r="Z23" s="9">
        <f t="shared" si="3"/>
        <v>15.178628934502431</v>
      </c>
      <c r="AA23" s="9">
        <f t="shared" si="3"/>
        <v>17.000064406642725</v>
      </c>
      <c r="AB23" s="9">
        <f t="shared" si="3"/>
        <v>19.040072135439853</v>
      </c>
      <c r="AC23" s="9">
        <f t="shared" si="3"/>
        <v>21.324880791692639</v>
      </c>
    </row>
    <row r="24" spans="1:29" x14ac:dyDescent="0.15">
      <c r="A24" s="2" t="s">
        <v>27</v>
      </c>
      <c r="B24" s="1">
        <v>1</v>
      </c>
      <c r="C24" s="9">
        <f t="shared" si="1"/>
        <v>1.1200000000000001</v>
      </c>
      <c r="D24" s="9">
        <f t="shared" si="3"/>
        <v>1.2544000000000002</v>
      </c>
      <c r="E24" s="9">
        <f t="shared" si="3"/>
        <v>1.4049280000000004</v>
      </c>
      <c r="F24" s="9">
        <f t="shared" si="3"/>
        <v>1.5735193600000006</v>
      </c>
      <c r="G24" s="9">
        <f t="shared" si="3"/>
        <v>1.7623416832000007</v>
      </c>
      <c r="H24" s="9">
        <f t="shared" si="3"/>
        <v>1.9738226851840011</v>
      </c>
      <c r="I24" s="9">
        <f t="shared" si="3"/>
        <v>2.2106814074060814</v>
      </c>
      <c r="J24" s="9">
        <f t="shared" si="3"/>
        <v>2.4759631762948113</v>
      </c>
      <c r="K24" s="9">
        <f t="shared" si="3"/>
        <v>2.7730787574501892</v>
      </c>
      <c r="L24" s="9">
        <f t="shared" si="3"/>
        <v>3.105848208344212</v>
      </c>
      <c r="M24" s="9">
        <f t="shared" si="3"/>
        <v>3.478549993345518</v>
      </c>
      <c r="N24" s="9">
        <f t="shared" si="3"/>
        <v>3.8959759925469806</v>
      </c>
      <c r="O24" s="9">
        <f t="shared" si="3"/>
        <v>4.3634931116526188</v>
      </c>
      <c r="P24" s="9">
        <f t="shared" si="3"/>
        <v>4.8871122850509332</v>
      </c>
      <c r="Q24" s="9">
        <f t="shared" si="3"/>
        <v>5.4735657592570455</v>
      </c>
      <c r="R24" s="9">
        <f t="shared" si="3"/>
        <v>6.1303936503678917</v>
      </c>
      <c r="S24" s="9">
        <f t="shared" si="3"/>
        <v>6.866040888412039</v>
      </c>
      <c r="T24" s="9">
        <f t="shared" si="3"/>
        <v>7.6899657950214841</v>
      </c>
      <c r="U24" s="9">
        <f t="shared" si="3"/>
        <v>8.6127616904240636</v>
      </c>
      <c r="V24" s="9">
        <f t="shared" si="3"/>
        <v>9.6462930932749522</v>
      </c>
      <c r="W24" s="9">
        <f t="shared" si="3"/>
        <v>10.803848264467948</v>
      </c>
      <c r="X24" s="9">
        <f t="shared" si="3"/>
        <v>12.100310056204103</v>
      </c>
      <c r="Y24" s="9">
        <f t="shared" si="3"/>
        <v>13.552347262948597</v>
      </c>
      <c r="Z24" s="9">
        <f t="shared" si="3"/>
        <v>15.178628934502431</v>
      </c>
      <c r="AA24" s="9">
        <f t="shared" si="3"/>
        <v>17.000064406642725</v>
      </c>
      <c r="AB24" s="9">
        <f t="shared" si="3"/>
        <v>19.040072135439853</v>
      </c>
      <c r="AC24" s="9">
        <f t="shared" si="3"/>
        <v>21.324880791692639</v>
      </c>
    </row>
    <row r="25" spans="1:29" x14ac:dyDescent="0.15">
      <c r="A25" s="2" t="s">
        <v>10</v>
      </c>
      <c r="B25" s="1">
        <v>1</v>
      </c>
      <c r="C25" s="9">
        <f t="shared" si="1"/>
        <v>1.1200000000000001</v>
      </c>
      <c r="D25" s="9">
        <f t="shared" si="3"/>
        <v>1.2544000000000002</v>
      </c>
      <c r="E25" s="9">
        <f t="shared" si="3"/>
        <v>1.4049280000000004</v>
      </c>
      <c r="F25" s="9">
        <f t="shared" si="3"/>
        <v>1.5735193600000006</v>
      </c>
      <c r="G25" s="9">
        <f t="shared" si="3"/>
        <v>1.7623416832000007</v>
      </c>
      <c r="H25" s="9">
        <f t="shared" si="3"/>
        <v>1.9738226851840011</v>
      </c>
      <c r="I25" s="9">
        <f t="shared" si="3"/>
        <v>2.2106814074060814</v>
      </c>
      <c r="J25" s="9">
        <f t="shared" si="3"/>
        <v>2.4759631762948113</v>
      </c>
      <c r="K25" s="9">
        <f t="shared" si="3"/>
        <v>2.7730787574501892</v>
      </c>
      <c r="L25" s="9">
        <f t="shared" si="3"/>
        <v>3.105848208344212</v>
      </c>
      <c r="M25" s="9">
        <f t="shared" si="3"/>
        <v>3.478549993345518</v>
      </c>
      <c r="N25" s="9">
        <f t="shared" si="3"/>
        <v>3.8959759925469806</v>
      </c>
      <c r="O25" s="9">
        <f t="shared" si="3"/>
        <v>4.3634931116526188</v>
      </c>
      <c r="P25" s="9">
        <f t="shared" si="3"/>
        <v>4.8871122850509332</v>
      </c>
      <c r="Q25" s="9">
        <f t="shared" si="3"/>
        <v>5.4735657592570455</v>
      </c>
      <c r="R25" s="9">
        <f t="shared" si="3"/>
        <v>6.1303936503678917</v>
      </c>
      <c r="S25" s="9">
        <f t="shared" si="3"/>
        <v>6.866040888412039</v>
      </c>
      <c r="T25" s="9">
        <f t="shared" si="3"/>
        <v>7.6899657950214841</v>
      </c>
      <c r="U25" s="9">
        <f t="shared" si="3"/>
        <v>8.6127616904240636</v>
      </c>
      <c r="V25" s="9">
        <f t="shared" si="3"/>
        <v>9.6462930932749522</v>
      </c>
      <c r="W25" s="9">
        <f t="shared" si="3"/>
        <v>10.803848264467948</v>
      </c>
      <c r="X25" s="9">
        <f t="shared" si="3"/>
        <v>12.100310056204103</v>
      </c>
      <c r="Y25" s="9">
        <f t="shared" si="3"/>
        <v>13.552347262948597</v>
      </c>
      <c r="Z25" s="9">
        <f t="shared" si="3"/>
        <v>15.178628934502431</v>
      </c>
      <c r="AA25" s="9">
        <f t="shared" si="3"/>
        <v>17.000064406642725</v>
      </c>
      <c r="AB25" s="9">
        <f t="shared" si="3"/>
        <v>19.040072135439853</v>
      </c>
      <c r="AC25" s="9">
        <f t="shared" si="3"/>
        <v>21.324880791692639</v>
      </c>
    </row>
    <row r="26" spans="1:29" x14ac:dyDescent="0.15">
      <c r="A26" s="2" t="s">
        <v>30</v>
      </c>
      <c r="B26" s="1">
        <v>1</v>
      </c>
      <c r="C26" s="9">
        <f t="shared" si="1"/>
        <v>1.1200000000000001</v>
      </c>
      <c r="D26" s="9">
        <f t="shared" si="3"/>
        <v>1.2544000000000002</v>
      </c>
      <c r="E26" s="9">
        <f t="shared" si="3"/>
        <v>1.4049280000000004</v>
      </c>
      <c r="F26" s="9">
        <f t="shared" si="3"/>
        <v>1.5735193600000006</v>
      </c>
      <c r="G26" s="9">
        <f t="shared" si="3"/>
        <v>1.7623416832000007</v>
      </c>
      <c r="H26" s="9">
        <f t="shared" si="3"/>
        <v>1.9738226851840011</v>
      </c>
      <c r="I26" s="9">
        <f t="shared" si="3"/>
        <v>2.2106814074060814</v>
      </c>
      <c r="J26" s="9">
        <f t="shared" si="3"/>
        <v>2.4759631762948113</v>
      </c>
      <c r="K26" s="9">
        <f t="shared" si="3"/>
        <v>2.7730787574501892</v>
      </c>
      <c r="L26" s="9">
        <f t="shared" si="3"/>
        <v>3.105848208344212</v>
      </c>
      <c r="M26" s="9">
        <f t="shared" si="3"/>
        <v>3.478549993345518</v>
      </c>
      <c r="N26" s="9">
        <f t="shared" si="3"/>
        <v>3.8959759925469806</v>
      </c>
      <c r="O26" s="9">
        <f t="shared" si="3"/>
        <v>4.3634931116526188</v>
      </c>
      <c r="P26" s="9">
        <f t="shared" si="3"/>
        <v>4.8871122850509332</v>
      </c>
      <c r="Q26" s="9">
        <f t="shared" si="3"/>
        <v>5.4735657592570455</v>
      </c>
      <c r="R26" s="9">
        <f t="shared" si="3"/>
        <v>6.1303936503678917</v>
      </c>
      <c r="S26" s="9">
        <f t="shared" si="3"/>
        <v>6.866040888412039</v>
      </c>
      <c r="T26" s="9">
        <f t="shared" si="3"/>
        <v>7.6899657950214841</v>
      </c>
      <c r="U26" s="9">
        <f t="shared" si="3"/>
        <v>8.6127616904240636</v>
      </c>
      <c r="V26" s="9">
        <f t="shared" si="3"/>
        <v>9.6462930932749522</v>
      </c>
      <c r="W26" s="9">
        <f t="shared" si="3"/>
        <v>10.803848264467948</v>
      </c>
      <c r="X26" s="9">
        <f t="shared" si="3"/>
        <v>12.100310056204103</v>
      </c>
      <c r="Y26" s="9">
        <f t="shared" si="3"/>
        <v>13.552347262948597</v>
      </c>
      <c r="Z26" s="9">
        <f t="shared" si="3"/>
        <v>15.178628934502431</v>
      </c>
      <c r="AA26" s="9">
        <f t="shared" si="3"/>
        <v>17.000064406642725</v>
      </c>
      <c r="AB26" s="9">
        <f t="shared" si="3"/>
        <v>19.040072135439853</v>
      </c>
      <c r="AC26" s="9">
        <f t="shared" si="3"/>
        <v>21.324880791692639</v>
      </c>
    </row>
    <row r="27" spans="1:29" x14ac:dyDescent="0.15">
      <c r="A27" s="2" t="s">
        <v>23</v>
      </c>
      <c r="B27" s="1">
        <v>1</v>
      </c>
      <c r="C27" s="9">
        <f t="shared" si="1"/>
        <v>1.1200000000000001</v>
      </c>
      <c r="D27" s="9">
        <f t="shared" si="3"/>
        <v>1.2544000000000002</v>
      </c>
      <c r="E27" s="9">
        <f t="shared" si="3"/>
        <v>1.4049280000000004</v>
      </c>
      <c r="F27" s="9">
        <f t="shared" si="3"/>
        <v>1.5735193600000006</v>
      </c>
      <c r="G27" s="9">
        <f t="shared" si="3"/>
        <v>1.7623416832000007</v>
      </c>
      <c r="H27" s="9">
        <f t="shared" si="3"/>
        <v>1.9738226851840011</v>
      </c>
      <c r="I27" s="9">
        <f t="shared" si="3"/>
        <v>2.2106814074060814</v>
      </c>
      <c r="J27" s="9">
        <f t="shared" si="3"/>
        <v>2.4759631762948113</v>
      </c>
      <c r="K27" s="9">
        <f t="shared" si="3"/>
        <v>2.7730787574501892</v>
      </c>
      <c r="L27" s="9">
        <f t="shared" si="3"/>
        <v>3.105848208344212</v>
      </c>
      <c r="M27" s="9">
        <f t="shared" si="3"/>
        <v>3.478549993345518</v>
      </c>
      <c r="N27" s="9">
        <f t="shared" si="3"/>
        <v>3.8959759925469806</v>
      </c>
      <c r="O27" s="9">
        <f t="shared" si="3"/>
        <v>4.3634931116526188</v>
      </c>
      <c r="P27" s="9">
        <f t="shared" si="3"/>
        <v>4.8871122850509332</v>
      </c>
      <c r="Q27" s="9">
        <f t="shared" si="3"/>
        <v>5.4735657592570455</v>
      </c>
      <c r="R27" s="9">
        <f t="shared" si="3"/>
        <v>6.1303936503678917</v>
      </c>
      <c r="S27" s="9">
        <f t="shared" si="3"/>
        <v>6.866040888412039</v>
      </c>
      <c r="T27" s="9">
        <f t="shared" si="3"/>
        <v>7.6899657950214841</v>
      </c>
      <c r="U27" s="9">
        <f t="shared" si="3"/>
        <v>8.6127616904240636</v>
      </c>
      <c r="V27" s="9">
        <f t="shared" si="3"/>
        <v>9.6462930932749522</v>
      </c>
      <c r="W27" s="9">
        <f t="shared" si="3"/>
        <v>10.803848264467948</v>
      </c>
      <c r="X27" s="9">
        <f t="shared" si="3"/>
        <v>12.100310056204103</v>
      </c>
      <c r="Y27" s="9">
        <f t="shared" si="3"/>
        <v>13.552347262948597</v>
      </c>
      <c r="Z27" s="9">
        <f t="shared" si="3"/>
        <v>15.178628934502431</v>
      </c>
      <c r="AA27" s="9">
        <f t="shared" si="3"/>
        <v>17.000064406642725</v>
      </c>
      <c r="AB27" s="9">
        <f t="shared" si="3"/>
        <v>19.040072135439853</v>
      </c>
      <c r="AC27" s="9">
        <f t="shared" si="3"/>
        <v>21.324880791692639</v>
      </c>
    </row>
    <row r="28" spans="1:29" x14ac:dyDescent="0.15">
      <c r="A28" s="2" t="s">
        <v>7</v>
      </c>
      <c r="B28" s="1">
        <v>1</v>
      </c>
      <c r="C28" s="9">
        <f t="shared" si="1"/>
        <v>1.1200000000000001</v>
      </c>
      <c r="D28" s="9">
        <f t="shared" si="3"/>
        <v>1.2544000000000002</v>
      </c>
      <c r="E28" s="9">
        <f t="shared" si="3"/>
        <v>1.4049280000000004</v>
      </c>
      <c r="F28" s="9">
        <f t="shared" si="3"/>
        <v>1.5735193600000006</v>
      </c>
      <c r="G28" s="9">
        <f t="shared" si="3"/>
        <v>1.7623416832000007</v>
      </c>
      <c r="H28" s="9">
        <f t="shared" si="3"/>
        <v>1.9738226851840011</v>
      </c>
      <c r="I28" s="9">
        <f t="shared" si="3"/>
        <v>2.2106814074060814</v>
      </c>
      <c r="J28" s="9">
        <f t="shared" si="3"/>
        <v>2.4759631762948113</v>
      </c>
      <c r="K28" s="9">
        <f t="shared" si="3"/>
        <v>2.7730787574501892</v>
      </c>
      <c r="L28" s="9">
        <f t="shared" si="3"/>
        <v>3.105848208344212</v>
      </c>
      <c r="M28" s="9">
        <f t="shared" si="3"/>
        <v>3.478549993345518</v>
      </c>
      <c r="N28" s="9">
        <f t="shared" si="3"/>
        <v>3.8959759925469806</v>
      </c>
      <c r="O28" s="9">
        <f t="shared" si="3"/>
        <v>4.3634931116526188</v>
      </c>
      <c r="P28" s="9">
        <f t="shared" si="3"/>
        <v>4.8871122850509332</v>
      </c>
      <c r="Q28" s="9">
        <f t="shared" si="3"/>
        <v>5.4735657592570455</v>
      </c>
      <c r="R28" s="9">
        <f t="shared" si="3"/>
        <v>6.1303936503678917</v>
      </c>
      <c r="S28" s="9">
        <f t="shared" si="3"/>
        <v>6.866040888412039</v>
      </c>
      <c r="T28" s="9">
        <f t="shared" si="3"/>
        <v>7.6899657950214841</v>
      </c>
      <c r="U28" s="9">
        <f t="shared" si="3"/>
        <v>8.6127616904240636</v>
      </c>
      <c r="V28" s="9">
        <f t="shared" si="3"/>
        <v>9.6462930932749522</v>
      </c>
      <c r="W28" s="9">
        <f t="shared" si="3"/>
        <v>10.803848264467948</v>
      </c>
      <c r="X28" s="9">
        <f t="shared" si="3"/>
        <v>12.100310056204103</v>
      </c>
      <c r="Y28" s="9">
        <f t="shared" si="3"/>
        <v>13.552347262948597</v>
      </c>
      <c r="Z28" s="9">
        <f t="shared" si="3"/>
        <v>15.178628934502431</v>
      </c>
      <c r="AA28" s="9">
        <f t="shared" si="3"/>
        <v>17.000064406642725</v>
      </c>
      <c r="AB28" s="9">
        <f t="shared" si="3"/>
        <v>19.040072135439853</v>
      </c>
      <c r="AC28" s="9">
        <f t="shared" si="3"/>
        <v>21.324880791692639</v>
      </c>
    </row>
    <row r="29" spans="1:29" x14ac:dyDescent="0.15">
      <c r="A29" s="2" t="s">
        <v>22</v>
      </c>
      <c r="B29" s="1">
        <v>1</v>
      </c>
      <c r="C29" s="9">
        <f t="shared" si="1"/>
        <v>1.1200000000000001</v>
      </c>
      <c r="D29" s="9">
        <f t="shared" si="3"/>
        <v>1.2544000000000002</v>
      </c>
      <c r="E29" s="9">
        <f t="shared" si="3"/>
        <v>1.4049280000000004</v>
      </c>
      <c r="F29" s="9">
        <f t="shared" si="3"/>
        <v>1.5735193600000006</v>
      </c>
      <c r="G29" s="9">
        <f t="shared" si="3"/>
        <v>1.7623416832000007</v>
      </c>
      <c r="H29" s="9">
        <f t="shared" si="3"/>
        <v>1.9738226851840011</v>
      </c>
      <c r="I29" s="9">
        <f t="shared" si="3"/>
        <v>2.2106814074060814</v>
      </c>
      <c r="J29" s="9">
        <f t="shared" si="3"/>
        <v>2.4759631762948113</v>
      </c>
      <c r="K29" s="9">
        <f t="shared" si="3"/>
        <v>2.7730787574501892</v>
      </c>
      <c r="L29" s="9">
        <f t="shared" si="3"/>
        <v>3.105848208344212</v>
      </c>
      <c r="M29" s="9">
        <f t="shared" si="3"/>
        <v>3.478549993345518</v>
      </c>
      <c r="N29" s="9">
        <f t="shared" si="3"/>
        <v>3.8959759925469806</v>
      </c>
      <c r="O29" s="9">
        <f t="shared" si="3"/>
        <v>4.3634931116526188</v>
      </c>
      <c r="P29" s="9">
        <f t="shared" si="3"/>
        <v>4.8871122850509332</v>
      </c>
      <c r="Q29" s="9">
        <f t="shared" si="3"/>
        <v>5.4735657592570455</v>
      </c>
      <c r="R29" s="9">
        <f t="shared" si="3"/>
        <v>6.1303936503678917</v>
      </c>
      <c r="S29" s="9">
        <f t="shared" si="3"/>
        <v>6.866040888412039</v>
      </c>
      <c r="T29" s="9">
        <f t="shared" si="3"/>
        <v>7.6899657950214841</v>
      </c>
      <c r="U29" s="9">
        <f t="shared" si="3"/>
        <v>8.6127616904240636</v>
      </c>
      <c r="V29" s="9">
        <f t="shared" si="3"/>
        <v>9.6462930932749522</v>
      </c>
      <c r="W29" s="9">
        <f t="shared" si="3"/>
        <v>10.803848264467948</v>
      </c>
      <c r="X29" s="9">
        <f t="shared" si="3"/>
        <v>12.100310056204103</v>
      </c>
      <c r="Y29" s="9">
        <f t="shared" si="3"/>
        <v>13.552347262948597</v>
      </c>
      <c r="Z29" s="9">
        <f t="shared" si="3"/>
        <v>15.178628934502431</v>
      </c>
      <c r="AA29" s="9">
        <f t="shared" si="3"/>
        <v>17.000064406642725</v>
      </c>
      <c r="AB29" s="9">
        <f t="shared" si="3"/>
        <v>19.040072135439853</v>
      </c>
      <c r="AC29" s="9">
        <f t="shared" si="3"/>
        <v>21.324880791692639</v>
      </c>
    </row>
    <row r="30" spans="1:29" ht="15" x14ac:dyDescent="0.25">
      <c r="A30" s="6" t="s">
        <v>21</v>
      </c>
      <c r="B30" s="1">
        <v>1</v>
      </c>
      <c r="C30" s="9">
        <f t="shared" si="1"/>
        <v>1.1200000000000001</v>
      </c>
      <c r="D30" s="9">
        <f t="shared" si="3"/>
        <v>1.2544000000000002</v>
      </c>
      <c r="E30" s="9">
        <f t="shared" si="3"/>
        <v>1.4049280000000004</v>
      </c>
      <c r="F30" s="9">
        <f t="shared" si="3"/>
        <v>1.5735193600000006</v>
      </c>
      <c r="G30" s="9">
        <f t="shared" si="3"/>
        <v>1.7623416832000007</v>
      </c>
      <c r="H30" s="9">
        <f t="shared" si="3"/>
        <v>1.9738226851840011</v>
      </c>
      <c r="I30" s="9">
        <f t="shared" si="3"/>
        <v>2.2106814074060814</v>
      </c>
      <c r="J30" s="9">
        <f t="shared" si="3"/>
        <v>2.4759631762948113</v>
      </c>
      <c r="K30" s="9">
        <f t="shared" si="3"/>
        <v>2.7730787574501892</v>
      </c>
      <c r="L30" s="9">
        <f t="shared" si="3"/>
        <v>3.105848208344212</v>
      </c>
      <c r="M30" s="9">
        <f t="shared" si="3"/>
        <v>3.478549993345518</v>
      </c>
      <c r="N30" s="9">
        <f t="shared" si="3"/>
        <v>3.8959759925469806</v>
      </c>
      <c r="O30" s="9">
        <f t="shared" si="3"/>
        <v>4.3634931116526188</v>
      </c>
      <c r="P30" s="9">
        <f t="shared" si="3"/>
        <v>4.8871122850509332</v>
      </c>
      <c r="Q30" s="9">
        <f t="shared" si="3"/>
        <v>5.4735657592570455</v>
      </c>
      <c r="R30" s="9">
        <f t="shared" si="3"/>
        <v>6.1303936503678917</v>
      </c>
      <c r="S30" s="9">
        <f t="shared" si="3"/>
        <v>6.866040888412039</v>
      </c>
      <c r="T30" s="9">
        <f t="shared" si="3"/>
        <v>7.6899657950214841</v>
      </c>
      <c r="U30" s="9">
        <f t="shared" si="3"/>
        <v>8.6127616904240636</v>
      </c>
      <c r="V30" s="9">
        <f t="shared" si="3"/>
        <v>9.6462930932749522</v>
      </c>
      <c r="W30" s="9">
        <f t="shared" si="3"/>
        <v>10.803848264467948</v>
      </c>
      <c r="X30" s="9">
        <f t="shared" si="3"/>
        <v>12.100310056204103</v>
      </c>
      <c r="Y30" s="9">
        <f t="shared" si="3"/>
        <v>13.552347262948597</v>
      </c>
      <c r="Z30" s="9">
        <f t="shared" si="3"/>
        <v>15.178628934502431</v>
      </c>
      <c r="AA30" s="9">
        <f t="shared" si="3"/>
        <v>17.000064406642725</v>
      </c>
      <c r="AB30" s="9">
        <f t="shared" si="3"/>
        <v>19.040072135439853</v>
      </c>
      <c r="AC30" s="9">
        <f t="shared" si="3"/>
        <v>21.324880791692639</v>
      </c>
    </row>
    <row r="31" spans="1:29" x14ac:dyDescent="0.15">
      <c r="A31" s="2" t="s">
        <v>29</v>
      </c>
      <c r="B31" s="1">
        <v>1</v>
      </c>
      <c r="C31" s="9">
        <f t="shared" si="1"/>
        <v>1.1200000000000001</v>
      </c>
      <c r="D31" s="9">
        <f t="shared" si="3"/>
        <v>1.2544000000000002</v>
      </c>
      <c r="E31" s="9">
        <f t="shared" si="3"/>
        <v>1.4049280000000004</v>
      </c>
      <c r="F31" s="9">
        <f t="shared" si="3"/>
        <v>1.5735193600000006</v>
      </c>
      <c r="G31" s="9">
        <f t="shared" si="3"/>
        <v>1.7623416832000007</v>
      </c>
      <c r="H31" s="9">
        <f t="shared" si="3"/>
        <v>1.9738226851840011</v>
      </c>
      <c r="I31" s="9">
        <f t="shared" si="3"/>
        <v>2.2106814074060814</v>
      </c>
      <c r="J31" s="9">
        <f t="shared" si="3"/>
        <v>2.4759631762948113</v>
      </c>
      <c r="K31" s="9">
        <f t="shared" si="3"/>
        <v>2.7730787574501892</v>
      </c>
      <c r="L31" s="9">
        <f t="shared" si="3"/>
        <v>3.105848208344212</v>
      </c>
      <c r="M31" s="9">
        <f t="shared" si="3"/>
        <v>3.478549993345518</v>
      </c>
      <c r="N31" s="9">
        <f t="shared" si="3"/>
        <v>3.8959759925469806</v>
      </c>
      <c r="O31" s="9">
        <f t="shared" si="3"/>
        <v>4.3634931116526188</v>
      </c>
      <c r="P31" s="9">
        <f t="shared" si="3"/>
        <v>4.8871122850509332</v>
      </c>
      <c r="Q31" s="9">
        <f t="shared" si="3"/>
        <v>5.4735657592570455</v>
      </c>
      <c r="R31" s="9">
        <f t="shared" si="3"/>
        <v>6.1303936503678917</v>
      </c>
      <c r="S31" s="9">
        <f t="shared" si="3"/>
        <v>6.866040888412039</v>
      </c>
      <c r="T31" s="9">
        <f t="shared" si="3"/>
        <v>7.6899657950214841</v>
      </c>
      <c r="U31" s="9">
        <f t="shared" si="3"/>
        <v>8.6127616904240636</v>
      </c>
      <c r="V31" s="9">
        <f t="shared" si="3"/>
        <v>9.6462930932749522</v>
      </c>
      <c r="W31" s="9">
        <f t="shared" si="3"/>
        <v>10.803848264467948</v>
      </c>
      <c r="X31" s="9">
        <f t="shared" si="3"/>
        <v>12.100310056204103</v>
      </c>
      <c r="Y31" s="9">
        <f t="shared" si="3"/>
        <v>13.552347262948597</v>
      </c>
      <c r="Z31" s="9">
        <f t="shared" si="3"/>
        <v>15.178628934502431</v>
      </c>
      <c r="AA31" s="9">
        <f t="shared" si="3"/>
        <v>17.000064406642725</v>
      </c>
      <c r="AB31" s="9">
        <f t="shared" si="3"/>
        <v>19.040072135439853</v>
      </c>
      <c r="AC31" s="9">
        <f t="shared" si="3"/>
        <v>21.324880791692639</v>
      </c>
    </row>
    <row r="32" spans="1:29" x14ac:dyDescent="0.15">
      <c r="A32" s="2" t="s">
        <v>33</v>
      </c>
      <c r="B32" s="1">
        <v>1</v>
      </c>
      <c r="C32" s="9">
        <f t="shared" si="1"/>
        <v>1.1200000000000001</v>
      </c>
      <c r="D32" s="9">
        <f t="shared" ref="D32:AC32" si="4">C32*1.12</f>
        <v>1.2544000000000002</v>
      </c>
      <c r="E32" s="9">
        <f t="shared" si="4"/>
        <v>1.4049280000000004</v>
      </c>
      <c r="F32" s="9">
        <f t="shared" si="4"/>
        <v>1.5735193600000006</v>
      </c>
      <c r="G32" s="9">
        <f t="shared" si="4"/>
        <v>1.7623416832000007</v>
      </c>
      <c r="H32" s="9">
        <f t="shared" si="4"/>
        <v>1.9738226851840011</v>
      </c>
      <c r="I32" s="9">
        <f t="shared" si="4"/>
        <v>2.2106814074060814</v>
      </c>
      <c r="J32" s="9">
        <f t="shared" si="4"/>
        <v>2.4759631762948113</v>
      </c>
      <c r="K32" s="9">
        <f t="shared" si="4"/>
        <v>2.7730787574501892</v>
      </c>
      <c r="L32" s="9">
        <f t="shared" si="4"/>
        <v>3.105848208344212</v>
      </c>
      <c r="M32" s="9">
        <f t="shared" si="4"/>
        <v>3.478549993345518</v>
      </c>
      <c r="N32" s="9">
        <f t="shared" si="4"/>
        <v>3.8959759925469806</v>
      </c>
      <c r="O32" s="9">
        <f t="shared" si="4"/>
        <v>4.3634931116526188</v>
      </c>
      <c r="P32" s="9">
        <f t="shared" si="4"/>
        <v>4.8871122850509332</v>
      </c>
      <c r="Q32" s="9">
        <f t="shared" si="4"/>
        <v>5.4735657592570455</v>
      </c>
      <c r="R32" s="9">
        <f t="shared" si="4"/>
        <v>6.1303936503678917</v>
      </c>
      <c r="S32" s="9">
        <f t="shared" si="4"/>
        <v>6.866040888412039</v>
      </c>
      <c r="T32" s="9">
        <f t="shared" si="4"/>
        <v>7.6899657950214841</v>
      </c>
      <c r="U32" s="9">
        <f t="shared" si="4"/>
        <v>8.6127616904240636</v>
      </c>
      <c r="V32" s="9">
        <f t="shared" si="4"/>
        <v>9.6462930932749522</v>
      </c>
      <c r="W32" s="9">
        <f t="shared" si="4"/>
        <v>10.803848264467948</v>
      </c>
      <c r="X32" s="9">
        <f t="shared" si="4"/>
        <v>12.100310056204103</v>
      </c>
      <c r="Y32" s="9">
        <f t="shared" si="4"/>
        <v>13.552347262948597</v>
      </c>
      <c r="Z32" s="9">
        <f t="shared" si="4"/>
        <v>15.178628934502431</v>
      </c>
      <c r="AA32" s="9">
        <f t="shared" si="4"/>
        <v>17.000064406642725</v>
      </c>
      <c r="AB32" s="9">
        <f t="shared" si="4"/>
        <v>19.040072135439853</v>
      </c>
      <c r="AC32" s="9">
        <f t="shared" si="4"/>
        <v>21.324880791692639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low_scale</vt:lpstr>
      <vt:lpstr>medium_scale</vt:lpstr>
      <vt:lpstr>high_scale</vt:lpstr>
      <vt:lpstr>low_PUE</vt:lpstr>
      <vt:lpstr>medium_PUE</vt:lpstr>
      <vt:lpstr>high_PUE</vt:lpstr>
      <vt:lpstr>low_perf</vt:lpstr>
      <vt:lpstr>medium_perf</vt:lpstr>
      <vt:lpstr>high_perf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2025-12-19T01:06:00Z</dcterms:created>
  <dcterms:modified xsi:type="dcterms:W3CDTF">2026-05-02T03:38:04Z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00E9402AD9A048678B046A85AA3DE5F1_11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